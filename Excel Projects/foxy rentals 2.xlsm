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9cd119fabca64e4/Desktop/"/>
    </mc:Choice>
  </mc:AlternateContent>
  <xr:revisionPtr revIDLastSave="3309" documentId="8_{85229199-0E36-4384-B3A4-D7CC5BD9716A}" xr6:coauthVersionLast="47" xr6:coauthVersionMax="47" xr10:uidLastSave="{18EA82C6-85EE-48E5-80E0-11FA88913824}"/>
  <bookViews>
    <workbookView xWindow="-110" yWindow="-110" windowWidth="19420" windowHeight="10300" tabRatio="654" firstSheet="1" activeTab="2" xr2:uid="{ADF71F82-CFCD-43C7-B256-85BD763104C3}"/>
  </bookViews>
  <sheets>
    <sheet name="HOME" sheetId="1" r:id="rId1"/>
    <sheet name="Properties" sheetId="2" r:id="rId2"/>
    <sheet name="units and Tenants" sheetId="3" r:id="rId3"/>
    <sheet name="Transactions" sheetId="12" r:id="rId4"/>
    <sheet name="Alerts and Reminders" sheetId="13" r:id="rId5"/>
    <sheet name="Dashboard" sheetId="6" r:id="rId6"/>
    <sheet name="PropertyDB" sheetId="7" r:id="rId7"/>
    <sheet name="UnitsDB" sheetId="8" r:id="rId8"/>
    <sheet name="TransactionsDB" sheetId="14" r:id="rId9"/>
    <sheet name="AlersDB" sheetId="9" r:id="rId10"/>
    <sheet name="AttachmentsDB" sheetId="10" r:id="rId11"/>
  </sheets>
  <definedNames>
    <definedName name="_xlnm._FilterDatabase" localSheetId="9" hidden="1">AlersDB!$A$3:$H$4</definedName>
    <definedName name="_xlnm._FilterDatabase" localSheetId="10" hidden="1">AttachmentsDB!$A$2:$E$3</definedName>
    <definedName name="_xlnm._FilterDatabase" localSheetId="8" hidden="1">TransactionsDB!$A$3:$F$5</definedName>
    <definedName name="_xlnm._FilterDatabase" localSheetId="7" hidden="1">UnitsDB!$A$3:$D$9</definedName>
    <definedName name="Alert_ID">OFFSET(AlersDB!$A$3,1,,COUNTA(AlersDB!$A$3:$A$9998)-1,1)</definedName>
    <definedName name="AttachID">OFFSET(AttachmentsDB!$A$2,1,,COUNTA(AttachmentsDB!$A$2:$A$9999)-1,1)</definedName>
    <definedName name="_xlnm.Criteria" localSheetId="9">AlersDB!$L$2:$L$3</definedName>
    <definedName name="_xlnm.Criteria" localSheetId="10">AttachmentsDB!$L$2:$L$3</definedName>
    <definedName name="_xlnm.Criteria" localSheetId="7">UnitsDB!$O$2:$O$3</definedName>
    <definedName name="_xlnm.Extract" localSheetId="9">AlersDB!$N$2:$U$2</definedName>
    <definedName name="_xlnm.Extract" localSheetId="10">AttachmentsDB!$O$2</definedName>
    <definedName name="_xlnm.Extract" localSheetId="8">TransactionsDB!$N$2:$P$2</definedName>
    <definedName name="_xlnm.Extract" localSheetId="7">UnitsDB!$Q$2:$R$2</definedName>
    <definedName name="Prop_ID">OFFSET(PropertyDB!$A$3,1,,COUNTA(PropertyDB!$A$3:$A$9995)-1,1)</definedName>
    <definedName name="PROP_NAME">OFFSET(PropertyDB!$B$3,1,,COUNTA(PropertyDB!$A$3:$A$9995)-1,1)</definedName>
    <definedName name="Trans_ID">OFFSET(TransactionsDB!$A$3,1,,COUNTA(TransactionsDB!$A$3:$A$9996)-1,1)</definedName>
    <definedName name="Unit_ID">OFFSET(UnitsDB!$A$3,1,,COUNTA(UnitsDB!$A$3:$A$9983)-1,1)</definedName>
    <definedName name="UnitNames">OFFSET(UnitsDB!$R$2,1,,COUNTA(UnitsDB!$R$2:$R$994)-1,1)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9" l="1"/>
  <c r="B4" i="13"/>
  <c r="B5" i="13"/>
  <c r="B4" i="12"/>
  <c r="B3" i="12"/>
  <c r="B5" i="12"/>
  <c r="B6" i="12"/>
  <c r="B5" i="3"/>
  <c r="B4" i="3"/>
  <c r="B6" i="2" a="1"/>
  <c r="B6" i="2" s="1"/>
  <c r="B5" i="2" a="1"/>
  <c r="B5" i="2" s="1"/>
  <c r="B4" i="2"/>
  <c r="B3" i="2"/>
  <c r="B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<sst xmlns="http://schemas.openxmlformats.org/spreadsheetml/2006/main" count="342" uniqueCount="183">
  <si>
    <t>FOXY RENTALS</t>
  </si>
  <si>
    <t>`</t>
  </si>
  <si>
    <t>Select Property</t>
  </si>
  <si>
    <t>Property Name</t>
  </si>
  <si>
    <t>Type</t>
  </si>
  <si>
    <t>Start Date</t>
  </si>
  <si>
    <t>Address</t>
  </si>
  <si>
    <t>Owners Name</t>
  </si>
  <si>
    <t>Managers Name</t>
  </si>
  <si>
    <t>Phone</t>
  </si>
  <si>
    <t>Email</t>
  </si>
  <si>
    <t>Property ID</t>
  </si>
  <si>
    <t>Attachments</t>
  </si>
  <si>
    <t>UNITS AND TENANTS</t>
  </si>
  <si>
    <t>Units</t>
  </si>
  <si>
    <t>Unit ID</t>
  </si>
  <si>
    <t>Tenant  Name</t>
  </si>
  <si>
    <t>Unit  #</t>
  </si>
  <si>
    <t>Unit type</t>
  </si>
  <si>
    <t>Notes</t>
  </si>
  <si>
    <t>Lease Start</t>
  </si>
  <si>
    <t>Phone 1</t>
  </si>
  <si>
    <t>Email 1</t>
  </si>
  <si>
    <t>Lease End</t>
  </si>
  <si>
    <t xml:space="preserve"> </t>
  </si>
  <si>
    <t>INCOMES AND EXPENSES TRANSACTIONS</t>
  </si>
  <si>
    <t>Date</t>
  </si>
  <si>
    <t>Paid By:</t>
  </si>
  <si>
    <t>Amount</t>
  </si>
  <si>
    <t>ALERTS AND REMINDERS</t>
  </si>
  <si>
    <t>Alert Name</t>
  </si>
  <si>
    <t>Time</t>
  </si>
  <si>
    <t>Alert Details</t>
  </si>
  <si>
    <t>DASHBOARD</t>
  </si>
  <si>
    <t>Report and Graphs</t>
  </si>
  <si>
    <t>Income and Expense by Property</t>
  </si>
  <si>
    <t>Tenant Detail List</t>
  </si>
  <si>
    <t>Monthly Tenant Payments</t>
  </si>
  <si>
    <t>From</t>
  </si>
  <si>
    <t>To</t>
  </si>
  <si>
    <t>Properties Database</t>
  </si>
  <si>
    <t>Prop ID</t>
  </si>
  <si>
    <t>Name</t>
  </si>
  <si>
    <t>start Date</t>
  </si>
  <si>
    <t>Owner</t>
  </si>
  <si>
    <t>Manager</t>
  </si>
  <si>
    <t>OwnPhone</t>
  </si>
  <si>
    <t>Own Email</t>
  </si>
  <si>
    <t>Mgr Phone</t>
  </si>
  <si>
    <t>Mgr Email</t>
  </si>
  <si>
    <t>i3</t>
  </si>
  <si>
    <t>e5</t>
  </si>
  <si>
    <t>g5</t>
  </si>
  <si>
    <t>i5</t>
  </si>
  <si>
    <t>e7</t>
  </si>
  <si>
    <t>e9</t>
  </si>
  <si>
    <t>g9</t>
  </si>
  <si>
    <t>i9</t>
  </si>
  <si>
    <t>e11</t>
  </si>
  <si>
    <t>g11</t>
  </si>
  <si>
    <t>i11</t>
  </si>
  <si>
    <t>Tenant Name</t>
  </si>
  <si>
    <t>notes</t>
  </si>
  <si>
    <t>Least Start</t>
  </si>
  <si>
    <t>Unit and Tenants Database</t>
  </si>
  <si>
    <t>k3</t>
  </si>
  <si>
    <t>b3</t>
  </si>
  <si>
    <t>k5</t>
  </si>
  <si>
    <t>g7</t>
  </si>
  <si>
    <t>k9</t>
  </si>
  <si>
    <t>k11</t>
  </si>
  <si>
    <t>Trans ID</t>
  </si>
  <si>
    <t>prop ID</t>
  </si>
  <si>
    <t>Trans Name</t>
  </si>
  <si>
    <t>Unit #</t>
  </si>
  <si>
    <t>Trans Details</t>
  </si>
  <si>
    <t>paid by</t>
  </si>
  <si>
    <t>b4</t>
  </si>
  <si>
    <t>type</t>
  </si>
  <si>
    <t>amount</t>
  </si>
  <si>
    <t>Transactions Database</t>
  </si>
  <si>
    <t>Alert  ID</t>
  </si>
  <si>
    <t>Alert ID</t>
  </si>
  <si>
    <t>Details</t>
  </si>
  <si>
    <t>Date&amp;Time</t>
  </si>
  <si>
    <t>Row</t>
  </si>
  <si>
    <t>Alerts  and reminders Database</t>
  </si>
  <si>
    <t>prop.nm row</t>
  </si>
  <si>
    <t>prop id row</t>
  </si>
  <si>
    <t>next prop ID</t>
  </si>
  <si>
    <t>next attach</t>
  </si>
  <si>
    <t>attachID</t>
  </si>
  <si>
    <t>attachments Database</t>
  </si>
  <si>
    <t>Residential</t>
  </si>
  <si>
    <t>Criteria</t>
  </si>
  <si>
    <t>Prop. ID</t>
  </si>
  <si>
    <t>Results</t>
  </si>
  <si>
    <t>File Path</t>
  </si>
  <si>
    <t>Trans. ID</t>
  </si>
  <si>
    <t>Unit Row</t>
  </si>
  <si>
    <t>Next Unit ID</t>
  </si>
  <si>
    <t>test notes</t>
  </si>
  <si>
    <t>I5</t>
  </si>
  <si>
    <t>results</t>
  </si>
  <si>
    <t>Recent Transactions</t>
  </si>
  <si>
    <t>Trans.Name</t>
  </si>
  <si>
    <t>Trans.Details</t>
  </si>
  <si>
    <t>Trans.ID</t>
  </si>
  <si>
    <t>Trans Row</t>
  </si>
  <si>
    <t>Next Trans ID</t>
  </si>
  <si>
    <t>may rent</t>
  </si>
  <si>
    <t>a104</t>
  </si>
  <si>
    <t>Debbies Bdg</t>
  </si>
  <si>
    <t>Income</t>
  </si>
  <si>
    <t>Tenant</t>
  </si>
  <si>
    <t>feb rent</t>
  </si>
  <si>
    <t>tenant</t>
  </si>
  <si>
    <t>Alert Row</t>
  </si>
  <si>
    <t>Next Alert ID</t>
  </si>
  <si>
    <t>Alerted on</t>
  </si>
  <si>
    <t>feb rent due</t>
  </si>
  <si>
    <t>=</t>
  </si>
  <si>
    <t>Recent Alerts</t>
  </si>
  <si>
    <t>Commercial</t>
  </si>
  <si>
    <t>jackson Wahome</t>
  </si>
  <si>
    <t>muthuijackson@gmailcom</t>
  </si>
  <si>
    <t>Simon Keiru</t>
  </si>
  <si>
    <t>Foxy Shops</t>
  </si>
  <si>
    <t>Njoro opposite Mogas Petrol Station</t>
  </si>
  <si>
    <t>Foxy Houses</t>
  </si>
  <si>
    <t>Njoro Posta opposite Mogas Petrol Station</t>
  </si>
  <si>
    <t>Jua kali Rentals</t>
  </si>
  <si>
    <t>Foxy Carwash</t>
  </si>
  <si>
    <t>Njoro, Jua Kali opposite Mogas petrol station</t>
  </si>
  <si>
    <t xml:space="preserve">ID </t>
  </si>
  <si>
    <t>ID</t>
  </si>
  <si>
    <t>NANCY NJOKI</t>
  </si>
  <si>
    <t>S1</t>
  </si>
  <si>
    <t>RENT 4000 PAYABLE ON 10TH</t>
  </si>
  <si>
    <t>njokin990gmail.com</t>
  </si>
  <si>
    <t>LEAH KABUI</t>
  </si>
  <si>
    <t>S2</t>
  </si>
  <si>
    <t>RENT 3500 PAYABLE ON 5TH</t>
  </si>
  <si>
    <t>SIMON KEIRU</t>
  </si>
  <si>
    <t>KINYOZI RENT 3500 PAYABLE ON 5TH</t>
  </si>
  <si>
    <t>S3</t>
  </si>
  <si>
    <t>8TH AUG</t>
  </si>
  <si>
    <t>TENANT</t>
  </si>
  <si>
    <t>SHOP/HOUSE</t>
  </si>
  <si>
    <t>DATE</t>
  </si>
  <si>
    <t>FOR</t>
  </si>
  <si>
    <t>AUG RENT</t>
  </si>
  <si>
    <t>BRIAN</t>
  </si>
  <si>
    <t>H9</t>
  </si>
  <si>
    <t>MAY RENT BAL 1500 AND THIS MONTH 1500</t>
  </si>
  <si>
    <t>WINNIE NYAGAKA</t>
  </si>
  <si>
    <t>CARWASH</t>
  </si>
  <si>
    <t>AMOUNT</t>
  </si>
  <si>
    <t>JULY RENT BALANCE FRO JULY 1500</t>
  </si>
  <si>
    <t>JOHN AYUB</t>
  </si>
  <si>
    <t>JOSEPH KIMANI</t>
  </si>
  <si>
    <t>H4</t>
  </si>
  <si>
    <t>S5</t>
  </si>
  <si>
    <t>3RD AUG</t>
  </si>
  <si>
    <t>6TH AUG</t>
  </si>
  <si>
    <t>RENT 3500 PAYABLE 5TH</t>
  </si>
  <si>
    <t xml:space="preserve"> GENERAL SHOP</t>
  </si>
  <si>
    <t>BARBER SHOP</t>
  </si>
  <si>
    <t>TAILOR SHOP</t>
  </si>
  <si>
    <t>S4</t>
  </si>
  <si>
    <t>STORE</t>
  </si>
  <si>
    <t>RENT 3500 FOR 3 MONTHS THEN 4000 PAYABLE ON 14TH</t>
  </si>
  <si>
    <t>Due Date</t>
  </si>
  <si>
    <t>SPARES SHOP</t>
  </si>
  <si>
    <t>JOHN SHIKUKU AYUB</t>
  </si>
  <si>
    <t>john2016ayub@gmail.com</t>
  </si>
  <si>
    <t>C1</t>
  </si>
  <si>
    <t>RENT 5000 PAYABLE ON 8TH</t>
  </si>
  <si>
    <t>FOXY KIOSKS</t>
  </si>
  <si>
    <t>COMMERCIAL</t>
  </si>
  <si>
    <t>NJORO POSTA OPPOSITE MOGAS PETROL STATION</t>
  </si>
  <si>
    <t>JACKSON WAHOME</t>
  </si>
  <si>
    <t>muthuijackson@gmail.com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</si>
</sst>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KES]\ #,##0.00"/>
    <numFmt numFmtId="165" formatCode="[$-F400]h:mm:ss\ AM/PM"/>
    <numFmt numFmtId="166" formatCode="[$-409]mmmm\ d\,\ yy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8" tint="-0.249977111117893"/>
      <name val="Arial Rounded MT Bold"/>
      <family val="2"/>
    </font>
    <font>
      <sz val="20"/>
      <color rgb="FF0070C0"/>
      <name val="Arial Rounded MT Bold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Arial Rounded MT Bold"/>
      <family val="2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gradientFill degree="90">
        <stop position="0">
          <color theme="2" tint="-0.49803155613879818"/>
        </stop>
        <stop position="1">
          <color theme="2" tint="-9.8025452436902985E-2"/>
        </stop>
      </gradient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51B77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auto="1"/>
      </patternFill>
    </fill>
  </fills>
  <borders count="13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double">
        <color rgb="FF0070C0"/>
      </left>
      <right style="thin">
        <color rgb="FF0070C0"/>
      </right>
      <top/>
      <bottom/>
      <diagonal/>
    </border>
    <border>
      <left style="double">
        <color rgb="FF0070C0"/>
      </left>
      <right style="thin">
        <color rgb="FF0070C0"/>
      </right>
      <top style="thin">
        <color rgb="FF0070C0"/>
      </top>
      <bottom style="double">
        <color rgb="FF0070C0"/>
      </bottom>
      <diagonal/>
    </border>
    <border>
      <left/>
      <right/>
      <top style="thin">
        <color rgb="FF0070C0"/>
      </top>
      <bottom style="double">
        <color rgb="FF0070C0"/>
      </bottom>
      <diagonal/>
    </border>
    <border>
      <left/>
      <right style="thin">
        <color rgb="FF0070C0"/>
      </right>
      <top style="thin">
        <color rgb="FF0070C0"/>
      </top>
      <bottom style="double">
        <color rgb="FF0070C0"/>
      </bottom>
      <diagonal/>
    </border>
    <border>
      <left style="thick">
        <color rgb="FF00FF00"/>
      </left>
      <right style="thick">
        <color rgb="FF00FF00"/>
      </right>
      <top style="thick">
        <color rgb="FF00FF00"/>
      </top>
      <bottom style="thick">
        <color rgb="FF00FF00"/>
      </bottom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3" borderId="1">
      <alignment horizontal="right"/>
    </xf>
    <xf numFmtId="0" fontId="1" fillId="5" borderId="2">
      <alignment horizontal="left"/>
    </xf>
    <xf numFmtId="0" fontId="6" fillId="0" borderId="0" applyNumberFormat="0" applyFill="0" applyBorder="0" applyAlignment="0" applyProtection="0"/>
  </cellStyleXfs>
  <cellXfs count="7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1" xfId="0" applyFill="1" applyBorder="1" applyAlignment="1">
      <alignment horizontal="right"/>
    </xf>
    <xf numFmtId="0" fontId="0" fillId="5" borderId="0" xfId="0" applyFill="1"/>
    <xf numFmtId="0" fontId="0" fillId="5" borderId="2" xfId="0" applyFill="1" applyBorder="1" applyAlignment="1">
      <alignment horizontal="left"/>
    </xf>
    <xf numFmtId="0" fontId="1" fillId="5" borderId="2" xfId="2">
      <alignment horizontal="left"/>
    </xf>
    <xf numFmtId="0" fontId="1" fillId="3" borderId="1" xfId="1">
      <alignment horizontal="right"/>
    </xf>
    <xf numFmtId="0" fontId="1" fillId="3" borderId="2" xfId="1" applyBorder="1">
      <alignment horizontal="right"/>
    </xf>
    <xf numFmtId="0" fontId="1" fillId="5" borderId="4" xfId="2" applyBorder="1">
      <alignment horizontal="left"/>
    </xf>
    <xf numFmtId="0" fontId="0" fillId="3" borderId="4" xfId="0" applyFill="1" applyBorder="1"/>
    <xf numFmtId="0" fontId="5" fillId="3" borderId="0" xfId="0" applyFont="1" applyFill="1"/>
    <xf numFmtId="14" fontId="1" fillId="5" borderId="2" xfId="2" applyNumberFormat="1">
      <alignment horizontal="left"/>
    </xf>
    <xf numFmtId="164" fontId="1" fillId="5" borderId="2" xfId="2" applyNumberFormat="1">
      <alignment horizontal="left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center"/>
    </xf>
    <xf numFmtId="0" fontId="0" fillId="4" borderId="3" xfId="0" applyFill="1" applyBorder="1"/>
    <xf numFmtId="0" fontId="2" fillId="6" borderId="3" xfId="0" applyFont="1" applyFill="1" applyBorder="1" applyAlignment="1">
      <alignment horizontal="centerContinuous"/>
    </xf>
    <xf numFmtId="0" fontId="2" fillId="7" borderId="3" xfId="0" applyFont="1" applyFill="1" applyBorder="1"/>
    <xf numFmtId="0" fontId="2" fillId="6" borderId="3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Continuous"/>
    </xf>
    <xf numFmtId="0" fontId="0" fillId="11" borderId="0" xfId="0" applyFill="1"/>
    <xf numFmtId="0" fontId="0" fillId="9" borderId="0" xfId="0" applyFill="1"/>
    <xf numFmtId="0" fontId="2" fillId="12" borderId="0" xfId="0" applyFont="1" applyFill="1" applyAlignment="1">
      <alignment horizontal="centerContinuous"/>
    </xf>
    <xf numFmtId="0" fontId="2" fillId="13" borderId="0" xfId="0" applyFont="1" applyFill="1"/>
    <xf numFmtId="0" fontId="2" fillId="9" borderId="3" xfId="0" applyFont="1" applyFill="1" applyBorder="1" applyAlignment="1">
      <alignment horizontal="center"/>
    </xf>
    <xf numFmtId="0" fontId="2" fillId="0" borderId="3" xfId="0" applyFont="1" applyBorder="1"/>
    <xf numFmtId="0" fontId="2" fillId="14" borderId="3" xfId="0" applyFont="1" applyFill="1" applyBorder="1" applyAlignment="1">
      <alignment horizontal="centerContinuous"/>
    </xf>
    <xf numFmtId="0" fontId="2" fillId="15" borderId="3" xfId="0" applyFont="1" applyFill="1" applyBorder="1"/>
    <xf numFmtId="0" fontId="3" fillId="2" borderId="0" xfId="0" applyFont="1" applyFill="1" applyAlignment="1">
      <alignment horizontal="centerContinuous" vertical="center"/>
    </xf>
    <xf numFmtId="0" fontId="0" fillId="2" borderId="0" xfId="0" applyFill="1" applyAlignment="1">
      <alignment horizontal="centerContinuous"/>
    </xf>
    <xf numFmtId="0" fontId="4" fillId="2" borderId="0" xfId="0" applyFont="1" applyFill="1" applyAlignment="1">
      <alignment horizontal="centerContinuous" vertical="center"/>
    </xf>
    <xf numFmtId="0" fontId="0" fillId="15" borderId="3" xfId="0" applyFill="1" applyBorder="1" applyAlignment="1">
      <alignment horizontal="left"/>
    </xf>
    <xf numFmtId="0" fontId="2" fillId="16" borderId="3" xfId="0" applyFont="1" applyFill="1" applyBorder="1" applyAlignment="1">
      <alignment horizontal="centerContinuous"/>
    </xf>
    <xf numFmtId="0" fontId="2" fillId="16" borderId="3" xfId="0" applyFont="1" applyFill="1" applyBorder="1"/>
    <xf numFmtId="0" fontId="6" fillId="5" borderId="2" xfId="3" applyFill="1" applyBorder="1" applyAlignment="1">
      <alignment horizontal="left"/>
    </xf>
    <xf numFmtId="14" fontId="0" fillId="0" borderId="0" xfId="0" applyNumberFormat="1"/>
    <xf numFmtId="0" fontId="0" fillId="0" borderId="3" xfId="0" applyBorder="1"/>
    <xf numFmtId="0" fontId="0" fillId="17" borderId="0" xfId="0" applyFill="1" applyAlignment="1">
      <alignment horizontal="center"/>
    </xf>
    <xf numFmtId="0" fontId="0" fillId="17" borderId="3" xfId="0" applyFill="1" applyBorder="1" applyAlignment="1">
      <alignment horizontal="left"/>
    </xf>
    <xf numFmtId="22" fontId="0" fillId="0" borderId="0" xfId="0" applyNumberFormat="1"/>
    <xf numFmtId="0" fontId="7" fillId="18" borderId="0" xfId="0" applyFont="1" applyFill="1"/>
    <xf numFmtId="0" fontId="7" fillId="19" borderId="0" xfId="0" applyFont="1" applyFill="1"/>
    <xf numFmtId="0" fontId="7" fillId="18" borderId="0" xfId="0" applyFont="1" applyFill="1" applyAlignment="1">
      <alignment horizontal="left"/>
    </xf>
    <xf numFmtId="0" fontId="9" fillId="18" borderId="0" xfId="0" applyFont="1" applyFill="1"/>
    <xf numFmtId="0" fontId="7" fillId="18" borderId="9" xfId="0" applyFont="1" applyFill="1" applyBorder="1"/>
    <xf numFmtId="0" fontId="7" fillId="18" borderId="9" xfId="2" applyFont="1" applyFill="1" applyBorder="1">
      <alignment horizontal="left"/>
    </xf>
    <xf numFmtId="0" fontId="7" fillId="18" borderId="10" xfId="1" applyFont="1" applyFill="1" applyBorder="1">
      <alignment horizontal="right"/>
    </xf>
    <xf numFmtId="0" fontId="7" fillId="18" borderId="10" xfId="2" applyFont="1" applyFill="1" applyBorder="1">
      <alignment horizontal="left"/>
    </xf>
    <xf numFmtId="14" fontId="7" fillId="18" borderId="10" xfId="2" applyNumberFormat="1" applyFont="1" applyFill="1" applyBorder="1">
      <alignment horizontal="left"/>
    </xf>
    <xf numFmtId="165" fontId="7" fillId="18" borderId="10" xfId="2" applyNumberFormat="1" applyFont="1" applyFill="1" applyBorder="1">
      <alignment horizontal="left"/>
    </xf>
    <xf numFmtId="0" fontId="10" fillId="5" borderId="10" xfId="1" applyFont="1" applyFill="1" applyBorder="1">
      <alignment horizontal="right"/>
    </xf>
    <xf numFmtId="1" fontId="1" fillId="5" borderId="2" xfId="2" applyNumberFormat="1">
      <alignment horizontal="left"/>
    </xf>
    <xf numFmtId="166" fontId="1" fillId="5" borderId="2" xfId="2" applyNumberFormat="1">
      <alignment horizontal="left"/>
    </xf>
    <xf numFmtId="0" fontId="11" fillId="0" borderId="0" xfId="0" applyFont="1"/>
    <xf numFmtId="12" fontId="1" fillId="5" borderId="2" xfId="2" applyNumberFormat="1">
      <alignment horizontal="left"/>
    </xf>
    <xf numFmtId="0" fontId="6" fillId="0" borderId="0" xfId="3"/>
    <xf numFmtId="0" fontId="1" fillId="5" borderId="2" xfId="2">
      <alignment horizontal="left"/>
    </xf>
    <xf numFmtId="0" fontId="4" fillId="2" borderId="0" xfId="0" applyFont="1" applyFill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7" fillId="18" borderId="10" xfId="2" applyFont="1" applyFill="1" applyBorder="1">
      <alignment horizontal="left"/>
    </xf>
    <xf numFmtId="0" fontId="0" fillId="17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15" borderId="11" xfId="0" applyFont="1" applyFill="1" applyBorder="1" applyAlignment="1">
      <alignment horizontal="center"/>
    </xf>
    <xf numFmtId="0" fontId="2" fillId="15" borderId="12" xfId="0" applyFont="1" applyFill="1" applyBorder="1" applyAlignment="1">
      <alignment horizontal="center"/>
    </xf>
    <xf numFmtId="0" fontId="0" fillId="0" borderId="3" xfId="0" applyBorder="1" applyAlignment="1">
      <alignment horizontal="center"/>
    </xf>
  </cellXfs>
  <cellStyles count="4">
    <cellStyle name="field" xfId="2" xr:uid="{111F6DB2-349B-4CC0-827E-CA5A25D28455}"/>
    <cellStyle name="Hyperlink" xfId="3" builtinId="8"/>
    <cellStyle name="label" xfId="1" xr:uid="{DA1679D6-1F33-458D-8E4E-8480B0969DA6}"/>
    <cellStyle name="Normal" xfId="0" builtinId="0"/>
  </cellStyles>
  <dxfs count="3">
    <dxf>
      <font>
        <b/>
        <i val="0"/>
        <color theme="0"/>
      </font>
      <fill>
        <gradientFill degree="90">
          <stop position="0">
            <color rgb="FF0000FF"/>
          </stop>
          <stop position="1">
            <color theme="4" tint="0.40000610370189521"/>
          </stop>
        </gradientFill>
      </fill>
    </dxf>
    <dxf>
      <font>
        <b/>
        <i val="0"/>
        <color theme="0"/>
      </font>
      <fill>
        <gradientFill degree="90">
          <stop position="0">
            <color rgb="FF0000FF"/>
          </stop>
          <stop position="1">
            <color theme="4" tint="0.40000610370189521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8"/>
          </stop>
        </gradientFill>
      </fill>
    </dxf>
  </dxfs>
  <tableStyles count="0" defaultTableStyle="TableStyleMedium2" defaultPivotStyle="PivotStyleLight16"/>
  <colors>
    <mruColors>
      <color rgb="FF00FF00"/>
      <color rgb="FF0000FF"/>
      <color rgb="FFFF66FF"/>
      <color rgb="FFB51B77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7.png"/><Relationship Id="rId6" Type="http://schemas.openxmlformats.org/officeDocument/2006/relationships/image" Target="../media/image12.jpe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9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2.png"/><Relationship Id="rId2" Type="http://schemas.openxmlformats.org/officeDocument/2006/relationships/image" Target="../media/image16.jpeg"/><Relationship Id="rId1" Type="http://schemas.openxmlformats.org/officeDocument/2006/relationships/image" Target="../media/image7.png"/><Relationship Id="rId6" Type="http://schemas.openxmlformats.org/officeDocument/2006/relationships/image" Target="../media/image15.jpeg"/><Relationship Id="rId5" Type="http://schemas.openxmlformats.org/officeDocument/2006/relationships/image" Target="../media/image14.jpeg"/><Relationship Id="rId4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6.jpeg"/><Relationship Id="rId1" Type="http://schemas.openxmlformats.org/officeDocument/2006/relationships/image" Target="../media/image7.png"/><Relationship Id="rId6" Type="http://schemas.openxmlformats.org/officeDocument/2006/relationships/image" Target="../media/image4.png"/><Relationship Id="rId5" Type="http://schemas.openxmlformats.org/officeDocument/2006/relationships/image" Target="../media/image14.jpeg"/><Relationship Id="rId4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2919491</xdr:colOff>
      <xdr:row>1</xdr:row>
      <xdr:rowOff>165100</xdr:rowOff>
    </xdr:from>
    <xdr:to>
      <xdr:col>1</xdr:col>
      <xdr:colOff>1320801</xdr:colOff>
      <xdr:row>25</xdr:row>
      <xdr:rowOff>26295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53A2BC17-95CD-4905-ADF5-41AD9BE57EBA}"/>
            </a:ext>
          </a:extLst>
        </xdr:cNvPr>
        <xdr:cNvGrpSpPr/>
      </xdr:nvGrpSpPr>
      <xdr:grpSpPr>
        <a:xfrm>
          <a:off x="2919491" y="635000"/>
          <a:ext cx="4427460" cy="4280795"/>
          <a:chOff x="1204991" y="393700"/>
          <a:chExt cx="4427460" cy="4280795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A264EA4-55F7-41D2-94EF-D36B266DCF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4991" y="393700"/>
            <a:ext cx="4427460" cy="4280795"/>
          </a:xfrm>
          <a:prstGeom prst="rect">
            <a:avLst/>
          </a:prstGeom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3E827A33-0963-40CE-8ABC-99E38E2989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3917950"/>
            <a:ext cx="508610" cy="548640"/>
          </a:xfrm>
          <a:prstGeom prst="rect">
            <a:avLst/>
          </a:prstGeom>
        </xdr:spPr>
      </xdr:pic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B131C2A9-35B4-4CF7-859E-4CD8AAD61D30}"/>
              </a:ext>
            </a:extLst>
          </xdr:cNvPr>
          <xdr:cNvSpPr/>
        </xdr:nvSpPr>
        <xdr:spPr>
          <a:xfrm>
            <a:off x="2628900" y="1593850"/>
            <a:ext cx="1581150" cy="3175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 b="1">
                <a:solidFill>
                  <a:srgbClr val="FFFFFF"/>
                </a:solidFill>
              </a:rPr>
              <a:t>DASHBOARD</a:t>
            </a:r>
          </a:p>
        </xdr:txBody>
      </xdr:sp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14F65671-0BEB-4BD8-99AA-F3F207A2F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86100" y="882650"/>
            <a:ext cx="548640" cy="548640"/>
          </a:xfrm>
          <a:prstGeom prst="rect">
            <a:avLst/>
          </a:prstGeom>
        </xdr:spPr>
      </xdr:pic>
      <xdr:pic>
        <xdr:nvPicPr>
          <xdr:cNvPr id="20" name="Picture 19">
            <a:extLst>
              <a:ext uri="{FF2B5EF4-FFF2-40B4-BE49-F238E27FC236}">
                <a16:creationId xmlns:a16="http://schemas.microsoft.com/office/drawing/2014/main" id="{3DCD0BE6-68BE-42A5-9920-DCD25CC63D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69600" y="3864750"/>
            <a:ext cx="551089" cy="548640"/>
          </a:xfrm>
          <a:prstGeom prst="rect">
            <a:avLst/>
          </a:prstGeom>
        </xdr:spPr>
      </xdr:pic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899B267A-1DD2-4CF6-B269-AE48E46780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5100" y="2711450"/>
            <a:ext cx="548640" cy="548640"/>
          </a:xfrm>
          <a:prstGeom prst="rect">
            <a:avLst/>
          </a:prstGeom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78E46818-B624-4859-A3A6-75A11D84CE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69600" y="2651900"/>
            <a:ext cx="548640" cy="548640"/>
          </a:xfrm>
          <a:prstGeom prst="rect">
            <a:avLst/>
          </a:prstGeom>
        </xdr:spPr>
      </xdr:pic>
      <xdr:sp macro="[0]!menu_properties" textlink="">
        <xdr:nvSpPr>
          <xdr:cNvPr id="27" name="Rectangle 26">
            <a:extLst>
              <a:ext uri="{FF2B5EF4-FFF2-40B4-BE49-F238E27FC236}">
                <a16:creationId xmlns:a16="http://schemas.microsoft.com/office/drawing/2014/main" id="{11C9AC15-2DAD-4698-A7E6-CEC6B78F1F63}"/>
              </a:ext>
            </a:extLst>
          </xdr:cNvPr>
          <xdr:cNvSpPr/>
        </xdr:nvSpPr>
        <xdr:spPr>
          <a:xfrm>
            <a:off x="1631950" y="2216150"/>
            <a:ext cx="1530350" cy="946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>
                <a:solidFill>
                  <a:srgbClr val="FFFFFF"/>
                </a:solidFill>
              </a:rPr>
              <a:t>PROPERTIES AND BUILDINGS</a:t>
            </a:r>
          </a:p>
        </xdr:txBody>
      </xdr:sp>
      <xdr:sp macro="[0]!menu_units" textlink="">
        <xdr:nvSpPr>
          <xdr:cNvPr id="28" name="Rectangle 27">
            <a:extLst>
              <a:ext uri="{FF2B5EF4-FFF2-40B4-BE49-F238E27FC236}">
                <a16:creationId xmlns:a16="http://schemas.microsoft.com/office/drawing/2014/main" id="{B31D5CDB-44D9-4058-B1BC-A99C8242EB2B}"/>
              </a:ext>
            </a:extLst>
          </xdr:cNvPr>
          <xdr:cNvSpPr/>
        </xdr:nvSpPr>
        <xdr:spPr>
          <a:xfrm>
            <a:off x="3568700" y="2184400"/>
            <a:ext cx="1689100" cy="9652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>
                <a:solidFill>
                  <a:srgbClr val="FFFFFF"/>
                </a:solidFill>
              </a:rPr>
              <a:t>TENANTS</a:t>
            </a:r>
            <a:r>
              <a:rPr lang="en-US" sz="1400" b="1" baseline="0">
                <a:solidFill>
                  <a:srgbClr val="FFFFFF"/>
                </a:solidFill>
              </a:rPr>
              <a:t> AND UNITS</a:t>
            </a:r>
            <a:endParaRPr lang="en-US" sz="1400" b="1">
              <a:solidFill>
                <a:srgbClr val="FFFFFF"/>
              </a:solidFill>
            </a:endParaRPr>
          </a:p>
        </xdr:txBody>
      </xdr:sp>
      <xdr:sp macro="[0]!menu_alerts" textlink="">
        <xdr:nvSpPr>
          <xdr:cNvPr id="32" name="Rectangle 31">
            <a:extLst>
              <a:ext uri="{FF2B5EF4-FFF2-40B4-BE49-F238E27FC236}">
                <a16:creationId xmlns:a16="http://schemas.microsoft.com/office/drawing/2014/main" id="{F7598830-C612-4199-B876-014EEAD45F2E}"/>
              </a:ext>
            </a:extLst>
          </xdr:cNvPr>
          <xdr:cNvSpPr/>
        </xdr:nvSpPr>
        <xdr:spPr>
          <a:xfrm>
            <a:off x="3530600" y="3378200"/>
            <a:ext cx="1600200" cy="10541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>
                <a:solidFill>
                  <a:srgbClr val="FFFFFF"/>
                </a:solidFill>
              </a:rPr>
              <a:t>REMINDERS</a:t>
            </a:r>
            <a:r>
              <a:rPr lang="en-US" sz="1400" b="1" baseline="0">
                <a:solidFill>
                  <a:srgbClr val="FFFFFF"/>
                </a:solidFill>
              </a:rPr>
              <a:t> AND ALERTS</a:t>
            </a:r>
            <a:endParaRPr lang="en-US" sz="1400" b="1">
              <a:solidFill>
                <a:srgbClr val="FFFFFF"/>
              </a:solidFill>
            </a:endParaRPr>
          </a:p>
        </xdr:txBody>
      </xdr:sp>
      <xdr:sp macro="[0]!menu_Tran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38A67E3-8172-4B6F-BD64-B7511E2C66E1}"/>
              </a:ext>
            </a:extLst>
          </xdr:cNvPr>
          <xdr:cNvSpPr/>
        </xdr:nvSpPr>
        <xdr:spPr>
          <a:xfrm>
            <a:off x="1612900" y="3429000"/>
            <a:ext cx="1568450" cy="10223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>
                <a:solidFill>
                  <a:srgbClr val="FFFFFF"/>
                </a:solidFill>
              </a:rPr>
              <a:t>INCOMES  AND EXPENSES</a:t>
            </a:r>
          </a:p>
        </xdr:txBody>
      </xdr:sp>
      <xdr:sp macro="[0]!menu_Dashboard" textlink="">
        <xdr:nvSpPr>
          <xdr:cNvPr id="34" name="Isosceles Triangle 33">
            <a:extLst>
              <a:ext uri="{FF2B5EF4-FFF2-40B4-BE49-F238E27FC236}">
                <a16:creationId xmlns:a16="http://schemas.microsoft.com/office/drawing/2014/main" id="{1A4E5E8A-6776-41CA-8968-9EF3B51EC1F7}"/>
              </a:ext>
            </a:extLst>
          </xdr:cNvPr>
          <xdr:cNvSpPr/>
        </xdr:nvSpPr>
        <xdr:spPr>
          <a:xfrm>
            <a:off x="1479550" y="495300"/>
            <a:ext cx="3803650" cy="1498600"/>
          </a:xfrm>
          <a:prstGeom prst="triangl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0</xdr:col>
      <xdr:colOff>1200150</xdr:colOff>
      <xdr:row>0</xdr:row>
      <xdr:rowOff>57150</xdr:rowOff>
    </xdr:from>
    <xdr:to>
      <xdr:col>0</xdr:col>
      <xdr:colOff>2169414</xdr:colOff>
      <xdr:row>0</xdr:row>
      <xdr:rowOff>313182</xdr:rowOff>
    </xdr:to>
    <xdr:sp macro="[0]!menu_units" textlink="">
      <xdr:nvSpPr>
        <xdr:cNvPr id="23" name="Rectangle 22">
          <a:extLst>
            <a:ext uri="{FF2B5EF4-FFF2-40B4-BE49-F238E27FC236}">
              <a16:creationId xmlns:a16="http://schemas.microsoft.com/office/drawing/2014/main" id="{DEDD3C36-17D8-4D39-89A4-00A4A852E8D8}"/>
            </a:ext>
          </a:extLst>
        </xdr:cNvPr>
        <xdr:cNvSpPr/>
      </xdr:nvSpPr>
      <xdr:spPr>
        <a:xfrm>
          <a:off x="1200150" y="5715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0</xdr:col>
      <xdr:colOff>1201293</xdr:colOff>
      <xdr:row>0</xdr:row>
      <xdr:rowOff>453390</xdr:rowOff>
    </xdr:from>
    <xdr:to>
      <xdr:col>0</xdr:col>
      <xdr:colOff>2170557</xdr:colOff>
      <xdr:row>2</xdr:row>
      <xdr:rowOff>55372</xdr:rowOff>
    </xdr:to>
    <xdr:sp macro="[0]!menu_home" textlink="">
      <xdr:nvSpPr>
        <xdr:cNvPr id="24" name="Rectangle 23">
          <a:extLst>
            <a:ext uri="{FF2B5EF4-FFF2-40B4-BE49-F238E27FC236}">
              <a16:creationId xmlns:a16="http://schemas.microsoft.com/office/drawing/2014/main" id="{2F509B27-69F9-4B46-9729-001B77268BEC}"/>
            </a:ext>
          </a:extLst>
        </xdr:cNvPr>
        <xdr:cNvSpPr/>
      </xdr:nvSpPr>
      <xdr:spPr>
        <a:xfrm>
          <a:off x="1201293" y="45339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0</xdr:col>
      <xdr:colOff>1201293</xdr:colOff>
      <xdr:row>3</xdr:row>
      <xdr:rowOff>11430</xdr:rowOff>
    </xdr:from>
    <xdr:to>
      <xdr:col>0</xdr:col>
      <xdr:colOff>2170557</xdr:colOff>
      <xdr:row>4</xdr:row>
      <xdr:rowOff>83312</xdr:rowOff>
    </xdr:to>
    <xdr:sp macro="[0]!menu_properties" textlink="">
      <xdr:nvSpPr>
        <xdr:cNvPr id="30" name="Rectangle 29">
          <a:extLst>
            <a:ext uri="{FF2B5EF4-FFF2-40B4-BE49-F238E27FC236}">
              <a16:creationId xmlns:a16="http://schemas.microsoft.com/office/drawing/2014/main" id="{A9CFEA27-D29A-4F8B-A9D1-C40BB6FCB855}"/>
            </a:ext>
          </a:extLst>
        </xdr:cNvPr>
        <xdr:cNvSpPr/>
      </xdr:nvSpPr>
      <xdr:spPr>
        <a:xfrm>
          <a:off x="1201293" y="8496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0</xdr:col>
      <xdr:colOff>1201293</xdr:colOff>
      <xdr:row>5</xdr:row>
      <xdr:rowOff>39370</xdr:rowOff>
    </xdr:from>
    <xdr:to>
      <xdr:col>0</xdr:col>
      <xdr:colOff>2170557</xdr:colOff>
      <xdr:row>6</xdr:row>
      <xdr:rowOff>111252</xdr:rowOff>
    </xdr:to>
    <xdr:sp macro="[0]!menu_Trans" textlink="">
      <xdr:nvSpPr>
        <xdr:cNvPr id="31" name="Rectangle 30">
          <a:extLst>
            <a:ext uri="{FF2B5EF4-FFF2-40B4-BE49-F238E27FC236}">
              <a16:creationId xmlns:a16="http://schemas.microsoft.com/office/drawing/2014/main" id="{66EB9DD0-3DB1-4CD9-82D0-902684A09F82}"/>
            </a:ext>
          </a:extLst>
        </xdr:cNvPr>
        <xdr:cNvSpPr/>
      </xdr:nvSpPr>
      <xdr:spPr>
        <a:xfrm>
          <a:off x="1201293" y="124587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0</xdr:col>
      <xdr:colOff>1201293</xdr:colOff>
      <xdr:row>7</xdr:row>
      <xdr:rowOff>67310</xdr:rowOff>
    </xdr:from>
    <xdr:to>
      <xdr:col>0</xdr:col>
      <xdr:colOff>2170557</xdr:colOff>
      <xdr:row>8</xdr:row>
      <xdr:rowOff>139192</xdr:rowOff>
    </xdr:to>
    <xdr:sp macro="[0]!menu_alerts" textlink="">
      <xdr:nvSpPr>
        <xdr:cNvPr id="33" name="Rectangle 32">
          <a:extLst>
            <a:ext uri="{FF2B5EF4-FFF2-40B4-BE49-F238E27FC236}">
              <a16:creationId xmlns:a16="http://schemas.microsoft.com/office/drawing/2014/main" id="{C9504313-E439-4D44-A37D-B48B2A95417F}"/>
            </a:ext>
          </a:extLst>
        </xdr:cNvPr>
        <xdr:cNvSpPr/>
      </xdr:nvSpPr>
      <xdr:spPr>
        <a:xfrm>
          <a:off x="1201293" y="16421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0</xdr:col>
      <xdr:colOff>1201293</xdr:colOff>
      <xdr:row>9</xdr:row>
      <xdr:rowOff>95250</xdr:rowOff>
    </xdr:from>
    <xdr:to>
      <xdr:col>0</xdr:col>
      <xdr:colOff>2170557</xdr:colOff>
      <xdr:row>10</xdr:row>
      <xdr:rowOff>167132</xdr:rowOff>
    </xdr:to>
    <xdr:sp macro="[0]!menu_Dashboard" textlink="">
      <xdr:nvSpPr>
        <xdr:cNvPr id="35" name="Rectangle 34">
          <a:extLst>
            <a:ext uri="{FF2B5EF4-FFF2-40B4-BE49-F238E27FC236}">
              <a16:creationId xmlns:a16="http://schemas.microsoft.com/office/drawing/2014/main" id="{455B45AA-023E-4097-B257-1DE377F03686}"/>
            </a:ext>
          </a:extLst>
        </xdr:cNvPr>
        <xdr:cNvSpPr/>
      </xdr:nvSpPr>
      <xdr:spPr>
        <a:xfrm>
          <a:off x="1201293" y="203835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158750</xdr:colOff>
      <xdr:row>12</xdr:row>
      <xdr:rowOff>63500</xdr:rowOff>
    </xdr:from>
    <xdr:to>
      <xdr:col>6</xdr:col>
      <xdr:colOff>438150</xdr:colOff>
      <xdr:row>14</xdr:row>
      <xdr:rowOff>0</xdr:rowOff>
    </xdr:to>
    <xdr:grpSp>
      <xdr:nvGrpSpPr>
        <xdr:cNvPr id="47" name="NewGroup" hidden="1">
          <a:extLst>
            <a:ext uri="{FF2B5EF4-FFF2-40B4-BE49-F238E27FC236}">
              <a16:creationId xmlns:a16="http://schemas.microsoft.com/office/drawing/2014/main" id="{5FAE9110-6C93-4111-B69D-A5DE2C5EA0AF}"/>
            </a:ext>
          </a:extLst>
        </xdr:cNvPr>
        <xdr:cNvGrpSpPr/>
      </xdr:nvGrpSpPr>
      <xdr:grpSpPr>
        <a:xfrm>
          <a:off x="2273300" y="2495550"/>
          <a:ext cx="2139950" cy="317500"/>
          <a:chOff x="2895600" y="2882900"/>
          <a:chExt cx="2139950" cy="317500"/>
        </a:xfrm>
      </xdr:grpSpPr>
      <xdr:grpSp>
        <xdr:nvGrpSpPr>
          <xdr:cNvPr id="44" name="Group 43" hidden="1">
            <a:extLst>
              <a:ext uri="{FF2B5EF4-FFF2-40B4-BE49-F238E27FC236}">
                <a16:creationId xmlns:a16="http://schemas.microsoft.com/office/drawing/2014/main" id="{6A32CB0D-B6F0-48F7-8BA3-833FD6423E8D}"/>
              </a:ext>
            </a:extLst>
          </xdr:cNvPr>
          <xdr:cNvGrpSpPr/>
        </xdr:nvGrpSpPr>
        <xdr:grpSpPr>
          <a:xfrm>
            <a:off x="2895600" y="2882900"/>
            <a:ext cx="1035050" cy="311150"/>
            <a:chOff x="2895600" y="2882900"/>
            <a:chExt cx="1035050" cy="311150"/>
          </a:xfrm>
        </xdr:grpSpPr>
        <xdr:sp macro="[0]!property_saveupdate" textlink="">
          <xdr:nvSpPr>
            <xdr:cNvPr id="25" name="Rectangle 24" hidden="1">
              <a:extLst>
                <a:ext uri="{FF2B5EF4-FFF2-40B4-BE49-F238E27FC236}">
                  <a16:creationId xmlns:a16="http://schemas.microsoft.com/office/drawing/2014/main" id="{BD5C69CE-6D1D-4626-A2D9-5C287BB1884C}"/>
                </a:ext>
              </a:extLst>
            </xdr:cNvPr>
            <xdr:cNvSpPr/>
          </xdr:nvSpPr>
          <xdr:spPr>
            <a:xfrm>
              <a:off x="2895600" y="28829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Save</a:t>
              </a:r>
            </a:p>
          </xdr:txBody>
        </xdr:sp>
        <xdr:pic>
          <xdr:nvPicPr>
            <xdr:cNvPr id="29" name="Picture 28" hidden="1">
              <a:extLst>
                <a:ext uri="{FF2B5EF4-FFF2-40B4-BE49-F238E27FC236}">
                  <a16:creationId xmlns:a16="http://schemas.microsoft.com/office/drawing/2014/main" id="{9866044C-FB3A-4308-A385-31D57F6774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82100" y="2940050"/>
              <a:ext cx="326254" cy="209550"/>
            </a:xfrm>
            <a:prstGeom prst="rect">
              <a:avLst/>
            </a:prstGeom>
          </xdr:spPr>
        </xdr:pic>
      </xdr:grpSp>
      <xdr:grpSp>
        <xdr:nvGrpSpPr>
          <xdr:cNvPr id="43" name="Group 42" hidden="1">
            <a:extLst>
              <a:ext uri="{FF2B5EF4-FFF2-40B4-BE49-F238E27FC236}">
                <a16:creationId xmlns:a16="http://schemas.microsoft.com/office/drawing/2014/main" id="{01095C40-FCDD-4FD2-9E37-D1A1B894CB10}"/>
              </a:ext>
            </a:extLst>
          </xdr:cNvPr>
          <xdr:cNvGrpSpPr/>
        </xdr:nvGrpSpPr>
        <xdr:grpSpPr>
          <a:xfrm>
            <a:off x="4000500" y="2889250"/>
            <a:ext cx="1035050" cy="311150"/>
            <a:chOff x="4038600" y="2889250"/>
            <a:chExt cx="1035050" cy="311150"/>
          </a:xfrm>
        </xdr:grpSpPr>
        <xdr:sp macro="" textlink="">
          <xdr:nvSpPr>
            <xdr:cNvPr id="20" name="Rectangle 19" hidden="1">
              <a:extLst>
                <a:ext uri="{FF2B5EF4-FFF2-40B4-BE49-F238E27FC236}">
                  <a16:creationId xmlns:a16="http://schemas.microsoft.com/office/drawing/2014/main" id="{EE0AEC87-D5C9-49E5-8C7C-91CBFBE03752}"/>
                </a:ext>
              </a:extLst>
            </xdr:cNvPr>
            <xdr:cNvSpPr/>
          </xdr:nvSpPr>
          <xdr:spPr>
            <a:xfrm>
              <a:off x="4038600" y="28892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endParaRPr lang="en-US" sz="1200">
                <a:solidFill>
                  <a:schemeClr val="bg1"/>
                </a:solidFill>
              </a:endParaRPr>
            </a:p>
          </xdr:txBody>
        </xdr:sp>
        <xdr:pic macro="[0]!Property_CancelNew">
          <xdr:nvPicPr>
            <xdr:cNvPr id="33" name="Picture 32" hidden="1">
              <a:extLst>
                <a:ext uri="{FF2B5EF4-FFF2-40B4-BE49-F238E27FC236}">
                  <a16:creationId xmlns:a16="http://schemas.microsoft.com/office/drawing/2014/main" id="{A156A734-D0D6-44ED-8ECB-D8A407B3101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33850" y="2927350"/>
              <a:ext cx="838200" cy="22225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107950</xdr:colOff>
      <xdr:row>12</xdr:row>
      <xdr:rowOff>111125</xdr:rowOff>
    </xdr:from>
    <xdr:to>
      <xdr:col>6</xdr:col>
      <xdr:colOff>514350</xdr:colOff>
      <xdr:row>14</xdr:row>
      <xdr:rowOff>47625</xdr:rowOff>
    </xdr:to>
    <xdr:grpSp>
      <xdr:nvGrpSpPr>
        <xdr:cNvPr id="46" name="exist group">
          <a:extLst>
            <a:ext uri="{FF2B5EF4-FFF2-40B4-BE49-F238E27FC236}">
              <a16:creationId xmlns:a16="http://schemas.microsoft.com/office/drawing/2014/main" id="{2C75A619-A49F-40FC-B3FB-E176E264739F}"/>
            </a:ext>
          </a:extLst>
        </xdr:cNvPr>
        <xdr:cNvGrpSpPr/>
      </xdr:nvGrpSpPr>
      <xdr:grpSpPr>
        <a:xfrm>
          <a:off x="1206500" y="2543175"/>
          <a:ext cx="3282950" cy="317500"/>
          <a:chOff x="1752600" y="2451100"/>
          <a:chExt cx="3282950" cy="317500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DEA90F54-3C8C-4589-86E2-6FB7AD8E8E18}"/>
              </a:ext>
            </a:extLst>
          </xdr:cNvPr>
          <xdr:cNvGrpSpPr/>
        </xdr:nvGrpSpPr>
        <xdr:grpSpPr>
          <a:xfrm>
            <a:off x="2876550" y="2454275"/>
            <a:ext cx="1035050" cy="311150"/>
            <a:chOff x="2863850" y="2451100"/>
            <a:chExt cx="1035050" cy="311150"/>
          </a:xfrm>
        </xdr:grpSpPr>
        <xdr:sp macro="[0]!property_saveupdate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D2F27121-C182-4C40-9E57-AE2DDA779963}"/>
                </a:ext>
              </a:extLst>
            </xdr:cNvPr>
            <xdr:cNvSpPr/>
          </xdr:nvSpPr>
          <xdr:spPr>
            <a:xfrm>
              <a:off x="286385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Update</a:t>
              </a:r>
            </a:p>
          </xdr:txBody>
        </xdr:sp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F9B1A7E1-91D8-455D-AECC-EE374E2C33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0050" y="2509800"/>
              <a:ext cx="302403" cy="208000"/>
            </a:xfrm>
            <a:prstGeom prst="rect">
              <a:avLst/>
            </a:prstGeom>
          </xdr:spPr>
        </xdr:pic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839D75FD-D2A8-4CFC-BA20-53239FC8FAC3}"/>
              </a:ext>
            </a:extLst>
          </xdr:cNvPr>
          <xdr:cNvGrpSpPr/>
        </xdr:nvGrpSpPr>
        <xdr:grpSpPr>
          <a:xfrm>
            <a:off x="4000500" y="2457450"/>
            <a:ext cx="1035050" cy="311150"/>
            <a:chOff x="4000500" y="2457450"/>
            <a:chExt cx="1035050" cy="311150"/>
          </a:xfrm>
        </xdr:grpSpPr>
        <xdr:sp macro="[0]!Property_Delete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933FE119-126F-4E2E-AEC5-1998EBE39874}"/>
                </a:ext>
              </a:extLst>
            </xdr:cNvPr>
            <xdr:cNvSpPr/>
          </xdr:nvSpPr>
          <xdr:spPr>
            <a:xfrm>
              <a:off x="4000500" y="24574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Delete</a:t>
              </a:r>
            </a:p>
          </xdr:txBody>
        </xdr:sp>
        <xdr:pic>
          <xdr:nvPicPr>
            <xdr:cNvPr id="35" name="Picture 34">
              <a:extLst>
                <a:ext uri="{FF2B5EF4-FFF2-40B4-BE49-F238E27FC236}">
                  <a16:creationId xmlns:a16="http://schemas.microsoft.com/office/drawing/2014/main" id="{4876BD76-8DC1-4698-B758-7C921D41A9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16300" y="247960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2017F193-57AE-4E95-AC79-B80DCD35C4BB}"/>
              </a:ext>
            </a:extLst>
          </xdr:cNvPr>
          <xdr:cNvGrpSpPr/>
        </xdr:nvGrpSpPr>
        <xdr:grpSpPr>
          <a:xfrm>
            <a:off x="1752600" y="2451100"/>
            <a:ext cx="1035050" cy="311150"/>
            <a:chOff x="1752600" y="2451100"/>
            <a:chExt cx="1035050" cy="311150"/>
          </a:xfrm>
        </xdr:grpSpPr>
        <xdr:sp macro="[0]!Property_AddNew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4AB1E17-8B5A-403A-B475-30ABC83DCF2F}"/>
                </a:ext>
              </a:extLst>
            </xdr:cNvPr>
            <xdr:cNvSpPr/>
          </xdr:nvSpPr>
          <xdr:spPr>
            <a:xfrm>
              <a:off x="175260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Add New</a:t>
              </a:r>
            </a:p>
          </xdr:txBody>
        </xdr:sp>
        <xdr:pic>
          <xdr:nvPicPr>
            <xdr:cNvPr id="37" name="Picture 36">
              <a:extLst>
                <a:ext uri="{FF2B5EF4-FFF2-40B4-BE49-F238E27FC236}">
                  <a16:creationId xmlns:a16="http://schemas.microsoft.com/office/drawing/2014/main" id="{E63C02B7-3382-416B-A0A4-B427E70EEF4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47850" y="2508250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9</xdr:col>
      <xdr:colOff>558800</xdr:colOff>
      <xdr:row>12</xdr:row>
      <xdr:rowOff>69850</xdr:rowOff>
    </xdr:from>
    <xdr:to>
      <xdr:col>10</xdr:col>
      <xdr:colOff>1060450</xdr:colOff>
      <xdr:row>14</xdr:row>
      <xdr:rowOff>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75429C5B-9608-454D-B766-785E12DE4ECB}"/>
            </a:ext>
          </a:extLst>
        </xdr:cNvPr>
        <xdr:cNvGrpSpPr/>
      </xdr:nvGrpSpPr>
      <xdr:grpSpPr>
        <a:xfrm>
          <a:off x="8350250" y="2501900"/>
          <a:ext cx="1111250" cy="311150"/>
          <a:chOff x="6788150" y="2349500"/>
          <a:chExt cx="1111250" cy="311150"/>
        </a:xfrm>
      </xdr:grpSpPr>
      <xdr:sp macro="[0]!Property_AddAttach" textlink="">
        <xdr:nvSpPr>
          <xdr:cNvPr id="21" name="Rectangle 20">
            <a:extLst>
              <a:ext uri="{FF2B5EF4-FFF2-40B4-BE49-F238E27FC236}">
                <a16:creationId xmlns:a16="http://schemas.microsoft.com/office/drawing/2014/main" id="{3B018223-8127-497A-B80A-99F7002B6A7A}"/>
              </a:ext>
            </a:extLst>
          </xdr:cNvPr>
          <xdr:cNvSpPr/>
        </xdr:nvSpPr>
        <xdr:spPr>
          <a:xfrm>
            <a:off x="6788150" y="2349500"/>
            <a:ext cx="1111250" cy="311150"/>
          </a:xfrm>
          <a:prstGeom prst="rect">
            <a:avLst/>
          </a:prstGeom>
          <a:solidFill>
            <a:srgbClr val="0070C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>
                <a:solidFill>
                  <a:schemeClr val="bg1"/>
                </a:solidFill>
              </a:rPr>
              <a:t>Add Attach</a:t>
            </a:r>
          </a:p>
        </xdr:txBody>
      </xdr:sp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F7601C69-982C-4EAA-89C4-702B3D7794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38950" y="239395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57150</xdr:colOff>
      <xdr:row>0</xdr:row>
      <xdr:rowOff>19050</xdr:rowOff>
    </xdr:from>
    <xdr:to>
      <xdr:col>11</xdr:col>
      <xdr:colOff>605790</xdr:colOff>
      <xdr:row>1</xdr:row>
      <xdr:rowOff>161290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8E333EC2-7A5E-442A-B1F4-20781BC5C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8800" y="19050"/>
          <a:ext cx="54864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79" name="Rectangle 78">
          <a:extLst>
            <a:ext uri="{FF2B5EF4-FFF2-40B4-BE49-F238E27FC236}">
              <a16:creationId xmlns:a16="http://schemas.microsoft.com/office/drawing/2014/main" id="{DCDB356C-A3D9-4FCD-986A-200024A056B5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87122</xdr:rowOff>
    </xdr:to>
    <xdr:sp macro="[0]!menu_home" textlink="">
      <xdr:nvSpPr>
        <xdr:cNvPr id="80" name="Rectangle 79">
          <a:extLst>
            <a:ext uri="{FF2B5EF4-FFF2-40B4-BE49-F238E27FC236}">
              <a16:creationId xmlns:a16="http://schemas.microsoft.com/office/drawing/2014/main" id="{06304B19-8F28-4EB7-805D-014AB3E1A411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108712</xdr:rowOff>
    </xdr:to>
    <xdr:sp macro="[0]!menu_properties" textlink="">
      <xdr:nvSpPr>
        <xdr:cNvPr id="81" name="Rectangle 80">
          <a:extLst>
            <a:ext uri="{FF2B5EF4-FFF2-40B4-BE49-F238E27FC236}">
              <a16:creationId xmlns:a16="http://schemas.microsoft.com/office/drawing/2014/main" id="{5648A2C7-D387-47E9-BB1D-3B4B3E7DE042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130302</xdr:rowOff>
    </xdr:to>
    <xdr:sp macro="[0]!menu_Trans" textlink="">
      <xdr:nvSpPr>
        <xdr:cNvPr id="82" name="Rectangle 81">
          <a:extLst>
            <a:ext uri="{FF2B5EF4-FFF2-40B4-BE49-F238E27FC236}">
              <a16:creationId xmlns:a16="http://schemas.microsoft.com/office/drawing/2014/main" id="{F0131D3F-52C6-4B23-8D2B-A59992A4F910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151892</xdr:rowOff>
    </xdr:to>
    <xdr:sp macro="[0]!menu_alerts" textlink="">
      <xdr:nvSpPr>
        <xdr:cNvPr id="83" name="Rectangle 82">
          <a:extLst>
            <a:ext uri="{FF2B5EF4-FFF2-40B4-BE49-F238E27FC236}">
              <a16:creationId xmlns:a16="http://schemas.microsoft.com/office/drawing/2014/main" id="{17284F5F-E18E-4B8D-BB47-26E959E5EDD1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173482</xdr:rowOff>
    </xdr:to>
    <xdr:sp macro="[0]!menu_Dashboard" textlink="">
      <xdr:nvSpPr>
        <xdr:cNvPr id="84" name="Rectangle 83">
          <a:extLst>
            <a:ext uri="{FF2B5EF4-FFF2-40B4-BE49-F238E27FC236}">
              <a16:creationId xmlns:a16="http://schemas.microsoft.com/office/drawing/2014/main" id="{20F60A01-EA39-464C-9306-3CB884C74997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95250</xdr:colOff>
      <xdr:row>12</xdr:row>
      <xdr:rowOff>98425</xdr:rowOff>
    </xdr:from>
    <xdr:to>
      <xdr:col>6</xdr:col>
      <xdr:colOff>1130300</xdr:colOff>
      <xdr:row>14</xdr:row>
      <xdr:rowOff>41021</xdr:rowOff>
    </xdr:to>
    <xdr:grpSp>
      <xdr:nvGrpSpPr>
        <xdr:cNvPr id="31" name="NewGrp" hidden="1">
          <a:extLst>
            <a:ext uri="{FF2B5EF4-FFF2-40B4-BE49-F238E27FC236}">
              <a16:creationId xmlns:a16="http://schemas.microsoft.com/office/drawing/2014/main" id="{39A8E033-BD7F-4E52-A4EE-8C54C65FB4FF}"/>
            </a:ext>
          </a:extLst>
        </xdr:cNvPr>
        <xdr:cNvGrpSpPr/>
      </xdr:nvGrpSpPr>
      <xdr:grpSpPr>
        <a:xfrm>
          <a:off x="3708400" y="2530475"/>
          <a:ext cx="1035050" cy="323596"/>
          <a:chOff x="2895600" y="2882900"/>
          <a:chExt cx="1035050" cy="311150"/>
        </a:xfrm>
      </xdr:grpSpPr>
      <xdr:sp macro="[0]!Unit_saveupdate" textlink="">
        <xdr:nvSpPr>
          <xdr:cNvPr id="35" name="Rectangle 34" hidden="1">
            <a:extLst>
              <a:ext uri="{FF2B5EF4-FFF2-40B4-BE49-F238E27FC236}">
                <a16:creationId xmlns:a16="http://schemas.microsoft.com/office/drawing/2014/main" id="{70D7022F-3D53-4237-8E08-DEBACF49095F}"/>
              </a:ext>
            </a:extLst>
          </xdr:cNvPr>
          <xdr:cNvSpPr/>
        </xdr:nvSpPr>
        <xdr:spPr>
          <a:xfrm>
            <a:off x="2895600" y="2882900"/>
            <a:ext cx="1035050" cy="311150"/>
          </a:xfrm>
          <a:prstGeom prst="rect">
            <a:avLst/>
          </a:prstGeom>
          <a:solidFill>
            <a:srgbClr val="0070C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>
                <a:solidFill>
                  <a:schemeClr val="bg1"/>
                </a:solidFill>
              </a:rPr>
              <a:t>Save</a:t>
            </a:r>
          </a:p>
        </xdr:txBody>
      </xdr:sp>
      <xdr:pic>
        <xdr:nvPicPr>
          <xdr:cNvPr id="36" name="Picture 35" hidden="1">
            <a:extLst>
              <a:ext uri="{FF2B5EF4-FFF2-40B4-BE49-F238E27FC236}">
                <a16:creationId xmlns:a16="http://schemas.microsoft.com/office/drawing/2014/main" id="{9E550CB4-5A82-4AD7-99F9-F48951AF1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2100" y="2940050"/>
            <a:ext cx="326254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482600</xdr:colOff>
      <xdr:row>12</xdr:row>
      <xdr:rowOff>98424</xdr:rowOff>
    </xdr:from>
    <xdr:to>
      <xdr:col>8</xdr:col>
      <xdr:colOff>342900</xdr:colOff>
      <xdr:row>14</xdr:row>
      <xdr:rowOff>47626</xdr:rowOff>
    </xdr:to>
    <xdr:grpSp>
      <xdr:nvGrpSpPr>
        <xdr:cNvPr id="37" name="exist group">
          <a:extLst>
            <a:ext uri="{FF2B5EF4-FFF2-40B4-BE49-F238E27FC236}">
              <a16:creationId xmlns:a16="http://schemas.microsoft.com/office/drawing/2014/main" id="{ACC4F7DB-193A-4084-A47A-31A44E3E0998}"/>
            </a:ext>
          </a:extLst>
        </xdr:cNvPr>
        <xdr:cNvGrpSpPr/>
      </xdr:nvGrpSpPr>
      <xdr:grpSpPr>
        <a:xfrm>
          <a:off x="2584450" y="2530474"/>
          <a:ext cx="3282950" cy="330202"/>
          <a:chOff x="1752600" y="2451100"/>
          <a:chExt cx="3282950" cy="317502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9BDE3F8-D006-4782-8BD3-73969D7FB358}"/>
              </a:ext>
            </a:extLst>
          </xdr:cNvPr>
          <xdr:cNvGrpSpPr/>
        </xdr:nvGrpSpPr>
        <xdr:grpSpPr>
          <a:xfrm>
            <a:off x="2876550" y="2454275"/>
            <a:ext cx="1035050" cy="311150"/>
            <a:chOff x="2863850" y="2451100"/>
            <a:chExt cx="1035050" cy="311150"/>
          </a:xfrm>
        </xdr:grpSpPr>
        <xdr:sp macro="[0]!Unit_saveupdate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EABE998D-E9A0-4310-B067-45673E642C1D}"/>
                </a:ext>
              </a:extLst>
            </xdr:cNvPr>
            <xdr:cNvSpPr/>
          </xdr:nvSpPr>
          <xdr:spPr>
            <a:xfrm>
              <a:off x="286385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Update</a:t>
              </a:r>
            </a:p>
          </xdr:txBody>
        </xdr:sp>
        <xdr:pic>
          <xdr:nvPicPr>
            <xdr:cNvPr id="46" name="Picture 45">
              <a:extLst>
                <a:ext uri="{FF2B5EF4-FFF2-40B4-BE49-F238E27FC236}">
                  <a16:creationId xmlns:a16="http://schemas.microsoft.com/office/drawing/2014/main" id="{6DB6DA13-7E90-4F93-9969-28B2AB9752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0050" y="2509800"/>
              <a:ext cx="302403" cy="208000"/>
            </a:xfrm>
            <a:prstGeom prst="rect">
              <a:avLst/>
            </a:prstGeom>
          </xdr:spPr>
        </xdr:pic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7A9D7CC-3280-4853-9111-8D62D4D30A1A}"/>
              </a:ext>
            </a:extLst>
          </xdr:cNvPr>
          <xdr:cNvGrpSpPr/>
        </xdr:nvGrpSpPr>
        <xdr:grpSpPr>
          <a:xfrm>
            <a:off x="4000500" y="2457452"/>
            <a:ext cx="1035050" cy="311150"/>
            <a:chOff x="4000500" y="2457452"/>
            <a:chExt cx="1035050" cy="311150"/>
          </a:xfrm>
        </xdr:grpSpPr>
        <xdr:sp macro="[0]!Unit_Delete" textlink="">
          <xdr:nvSpPr>
            <xdr:cNvPr id="43" name="Rectangle 42">
              <a:extLst>
                <a:ext uri="{FF2B5EF4-FFF2-40B4-BE49-F238E27FC236}">
                  <a16:creationId xmlns:a16="http://schemas.microsoft.com/office/drawing/2014/main" id="{1CA237EF-A829-4239-B174-E6BF4F0E14AC}"/>
                </a:ext>
              </a:extLst>
            </xdr:cNvPr>
            <xdr:cNvSpPr/>
          </xdr:nvSpPr>
          <xdr:spPr>
            <a:xfrm>
              <a:off x="4000500" y="2457452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Delete</a:t>
              </a:r>
            </a:p>
          </xdr:txBody>
        </xdr:sp>
        <xdr:pic macro="[0]!Unit_Delete">
          <xdr:nvPicPr>
            <xdr:cNvPr id="44" name="Picture 43">
              <a:extLst>
                <a:ext uri="{FF2B5EF4-FFF2-40B4-BE49-F238E27FC236}">
                  <a16:creationId xmlns:a16="http://schemas.microsoft.com/office/drawing/2014/main" id="{69B2496F-E6CD-45A3-B3DD-000F888B5CE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16300" y="247960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50841527-3C15-4967-8920-8F9FB9EC601F}"/>
              </a:ext>
            </a:extLst>
          </xdr:cNvPr>
          <xdr:cNvGrpSpPr/>
        </xdr:nvGrpSpPr>
        <xdr:grpSpPr>
          <a:xfrm>
            <a:off x="1752600" y="2451100"/>
            <a:ext cx="1035050" cy="311150"/>
            <a:chOff x="1752600" y="2451100"/>
            <a:chExt cx="1035050" cy="311150"/>
          </a:xfrm>
        </xdr:grpSpPr>
        <xdr:sp macro="[0]!Unit_AddNew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F3ED64FA-C8C2-4CA2-9159-97B4C8BC0271}"/>
                </a:ext>
              </a:extLst>
            </xdr:cNvPr>
            <xdr:cNvSpPr/>
          </xdr:nvSpPr>
          <xdr:spPr>
            <a:xfrm>
              <a:off x="175260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Add New</a:t>
              </a:r>
            </a:p>
          </xdr:txBody>
        </xdr:sp>
        <xdr:pic>
          <xdr:nvPicPr>
            <xdr:cNvPr id="42" name="Picture 41">
              <a:extLst>
                <a:ext uri="{FF2B5EF4-FFF2-40B4-BE49-F238E27FC236}">
                  <a16:creationId xmlns:a16="http://schemas.microsoft.com/office/drawing/2014/main" id="{B9020A76-76C3-4204-A1B9-6DFC5DC08ED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47850" y="2508250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558800</xdr:colOff>
      <xdr:row>12</xdr:row>
      <xdr:rowOff>107950</xdr:rowOff>
    </xdr:from>
    <xdr:to>
      <xdr:col>13</xdr:col>
      <xdr:colOff>114300</xdr:colOff>
      <xdr:row>14</xdr:row>
      <xdr:rowOff>50800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6A7F8F27-E425-4BE4-9E4C-A7402317664E}"/>
            </a:ext>
          </a:extLst>
        </xdr:cNvPr>
        <xdr:cNvGrpSpPr/>
      </xdr:nvGrpSpPr>
      <xdr:grpSpPr>
        <a:xfrm>
          <a:off x="9677400" y="2540000"/>
          <a:ext cx="1111250" cy="323850"/>
          <a:chOff x="6788150" y="2349500"/>
          <a:chExt cx="1111250" cy="311150"/>
        </a:xfrm>
      </xdr:grpSpPr>
      <xdr:sp macro="[0]!Unit_AddAttach" textlink="">
        <xdr:nvSpPr>
          <xdr:cNvPr id="48" name="Rectangle 47">
            <a:extLst>
              <a:ext uri="{FF2B5EF4-FFF2-40B4-BE49-F238E27FC236}">
                <a16:creationId xmlns:a16="http://schemas.microsoft.com/office/drawing/2014/main" id="{2F996708-6EC0-4DD7-9900-6F681AB6DB17}"/>
              </a:ext>
            </a:extLst>
          </xdr:cNvPr>
          <xdr:cNvSpPr/>
        </xdr:nvSpPr>
        <xdr:spPr>
          <a:xfrm>
            <a:off x="6788150" y="2349500"/>
            <a:ext cx="1111250" cy="311150"/>
          </a:xfrm>
          <a:prstGeom prst="rect">
            <a:avLst/>
          </a:prstGeom>
          <a:solidFill>
            <a:srgbClr val="0070C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>
                <a:solidFill>
                  <a:schemeClr val="bg1"/>
                </a:solidFill>
              </a:rPr>
              <a:t>Add Attach</a:t>
            </a:r>
          </a:p>
        </xdr:txBody>
      </xdr:sp>
      <xdr:pic macro="[0]!Unit_AddAttach">
        <xdr:nvPicPr>
          <xdr:cNvPr id="49" name="Picture 48">
            <a:extLst>
              <a:ext uri="{FF2B5EF4-FFF2-40B4-BE49-F238E27FC236}">
                <a16:creationId xmlns:a16="http://schemas.microsoft.com/office/drawing/2014/main" id="{B2EFAC0D-C95D-4D2B-BCD8-C65749983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38950" y="239395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31750</xdr:colOff>
      <xdr:row>0</xdr:row>
      <xdr:rowOff>31750</xdr:rowOff>
    </xdr:from>
    <xdr:to>
      <xdr:col>13</xdr:col>
      <xdr:colOff>580390</xdr:colOff>
      <xdr:row>1</xdr:row>
      <xdr:rowOff>173990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687A608-F9A5-43F9-BCBD-F52DFA78E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400" y="31750"/>
          <a:ext cx="54864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59" name="Rectangle 58">
          <a:extLst>
            <a:ext uri="{FF2B5EF4-FFF2-40B4-BE49-F238E27FC236}">
              <a16:creationId xmlns:a16="http://schemas.microsoft.com/office/drawing/2014/main" id="{6EA34975-8580-4D00-AEAE-9BB462A0C702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87122</xdr:rowOff>
    </xdr:to>
    <xdr:sp macro="[0]!menu_home" textlink="">
      <xdr:nvSpPr>
        <xdr:cNvPr id="60" name="Rectangle 59">
          <a:extLst>
            <a:ext uri="{FF2B5EF4-FFF2-40B4-BE49-F238E27FC236}">
              <a16:creationId xmlns:a16="http://schemas.microsoft.com/office/drawing/2014/main" id="{CBEE04A7-CACB-4362-8975-4F4BF4D49D29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108712</xdr:rowOff>
    </xdr:to>
    <xdr:sp macro="[0]!menu_properties" textlink="">
      <xdr:nvSpPr>
        <xdr:cNvPr id="61" name="Rectangle 60">
          <a:extLst>
            <a:ext uri="{FF2B5EF4-FFF2-40B4-BE49-F238E27FC236}">
              <a16:creationId xmlns:a16="http://schemas.microsoft.com/office/drawing/2014/main" id="{2C21327B-E8ED-42A6-9FDC-2EFEB82FDC13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130302</xdr:rowOff>
    </xdr:to>
    <xdr:sp macro="[0]!menu_Trans" textlink="">
      <xdr:nvSpPr>
        <xdr:cNvPr id="62" name="Rectangle 61">
          <a:extLst>
            <a:ext uri="{FF2B5EF4-FFF2-40B4-BE49-F238E27FC236}">
              <a16:creationId xmlns:a16="http://schemas.microsoft.com/office/drawing/2014/main" id="{264C0F51-A4AF-4663-B88D-F428DEC9FC3E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151892</xdr:rowOff>
    </xdr:to>
    <xdr:sp macro="[0]!menu_alerts" textlink="">
      <xdr:nvSpPr>
        <xdr:cNvPr id="63" name="Rectangle 62">
          <a:extLst>
            <a:ext uri="{FF2B5EF4-FFF2-40B4-BE49-F238E27FC236}">
              <a16:creationId xmlns:a16="http://schemas.microsoft.com/office/drawing/2014/main" id="{BAD6A22B-71D6-46B1-98B4-794A40A754AF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173482</xdr:rowOff>
    </xdr:to>
    <xdr:sp macro="[0]!menu_Dashboard" textlink="">
      <xdr:nvSpPr>
        <xdr:cNvPr id="64" name="Rectangle 63">
          <a:extLst>
            <a:ext uri="{FF2B5EF4-FFF2-40B4-BE49-F238E27FC236}">
              <a16:creationId xmlns:a16="http://schemas.microsoft.com/office/drawing/2014/main" id="{2F542D22-6C02-4E8D-9EDE-578BB5DDDCBB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9</xdr:row>
      <xdr:rowOff>158750</xdr:rowOff>
    </xdr:from>
    <xdr:to>
      <xdr:col>9</xdr:col>
      <xdr:colOff>647700</xdr:colOff>
      <xdr:row>11</xdr:row>
      <xdr:rowOff>120650</xdr:rowOff>
    </xdr:to>
    <xdr:grpSp>
      <xdr:nvGrpSpPr>
        <xdr:cNvPr id="5" name="NewGroup" hidden="1">
          <a:extLst>
            <a:ext uri="{FF2B5EF4-FFF2-40B4-BE49-F238E27FC236}">
              <a16:creationId xmlns:a16="http://schemas.microsoft.com/office/drawing/2014/main" id="{F95B1299-2E57-46A9-A8E9-4D930A033D70}"/>
            </a:ext>
          </a:extLst>
        </xdr:cNvPr>
        <xdr:cNvGrpSpPr/>
      </xdr:nvGrpSpPr>
      <xdr:grpSpPr>
        <a:xfrm>
          <a:off x="4648200" y="2038350"/>
          <a:ext cx="2139950" cy="330200"/>
          <a:chOff x="2895600" y="2882900"/>
          <a:chExt cx="2139950" cy="317500"/>
        </a:xfrm>
      </xdr:grpSpPr>
      <xdr:grpSp>
        <xdr:nvGrpSpPr>
          <xdr:cNvPr id="6" name="Group 5" hidden="1">
            <a:extLst>
              <a:ext uri="{FF2B5EF4-FFF2-40B4-BE49-F238E27FC236}">
                <a16:creationId xmlns:a16="http://schemas.microsoft.com/office/drawing/2014/main" id="{EC4A4FF6-9E62-4E6D-A56A-6CC5A5174EE5}"/>
              </a:ext>
            </a:extLst>
          </xdr:cNvPr>
          <xdr:cNvGrpSpPr/>
        </xdr:nvGrpSpPr>
        <xdr:grpSpPr>
          <a:xfrm>
            <a:off x="2895600" y="2882900"/>
            <a:ext cx="1035050" cy="311150"/>
            <a:chOff x="2895600" y="2882900"/>
            <a:chExt cx="1035050" cy="311150"/>
          </a:xfrm>
        </xdr:grpSpPr>
        <xdr:sp macro="[0]!Trans_saveupdate" textlink="">
          <xdr:nvSpPr>
            <xdr:cNvPr id="10" name="Rectangle 9" hidden="1">
              <a:extLst>
                <a:ext uri="{FF2B5EF4-FFF2-40B4-BE49-F238E27FC236}">
                  <a16:creationId xmlns:a16="http://schemas.microsoft.com/office/drawing/2014/main" id="{4522629C-E975-4405-9157-7C3F02521490}"/>
                </a:ext>
              </a:extLst>
            </xdr:cNvPr>
            <xdr:cNvSpPr/>
          </xdr:nvSpPr>
          <xdr:spPr>
            <a:xfrm>
              <a:off x="2895600" y="28829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Save</a:t>
              </a:r>
            </a:p>
          </xdr:txBody>
        </xdr:sp>
        <xdr:pic macro="[0]!Trans_saveupdate">
          <xdr:nvPicPr>
            <xdr:cNvPr id="11" name="Picture 10" hidden="1">
              <a:extLst>
                <a:ext uri="{FF2B5EF4-FFF2-40B4-BE49-F238E27FC236}">
                  <a16:creationId xmlns:a16="http://schemas.microsoft.com/office/drawing/2014/main" id="{19F1C4C4-5FAF-4F0C-A533-31316BDB1B0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82100" y="2940050"/>
              <a:ext cx="326254" cy="209550"/>
            </a:xfrm>
            <a:prstGeom prst="rect">
              <a:avLst/>
            </a:prstGeom>
          </xdr:spPr>
        </xdr:pic>
      </xdr:grpSp>
      <xdr:grpSp>
        <xdr:nvGrpSpPr>
          <xdr:cNvPr id="7" name="Group 6" hidden="1">
            <a:extLst>
              <a:ext uri="{FF2B5EF4-FFF2-40B4-BE49-F238E27FC236}">
                <a16:creationId xmlns:a16="http://schemas.microsoft.com/office/drawing/2014/main" id="{EDF917B2-FE3F-4B5B-91DC-E543CF177396}"/>
              </a:ext>
            </a:extLst>
          </xdr:cNvPr>
          <xdr:cNvGrpSpPr/>
        </xdr:nvGrpSpPr>
        <xdr:grpSpPr>
          <a:xfrm>
            <a:off x="4000500" y="2889250"/>
            <a:ext cx="1035050" cy="311150"/>
            <a:chOff x="4038600" y="2889250"/>
            <a:chExt cx="1035050" cy="311150"/>
          </a:xfrm>
        </xdr:grpSpPr>
        <xdr:sp macro="" textlink="">
          <xdr:nvSpPr>
            <xdr:cNvPr id="8" name="Rectangle 7" hidden="1">
              <a:extLst>
                <a:ext uri="{FF2B5EF4-FFF2-40B4-BE49-F238E27FC236}">
                  <a16:creationId xmlns:a16="http://schemas.microsoft.com/office/drawing/2014/main" id="{67527EAD-7CD6-4223-B219-AA2D580630EE}"/>
                </a:ext>
              </a:extLst>
            </xdr:cNvPr>
            <xdr:cNvSpPr/>
          </xdr:nvSpPr>
          <xdr:spPr>
            <a:xfrm>
              <a:off x="4038600" y="28892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endParaRPr lang="en-US" sz="1200">
                <a:solidFill>
                  <a:schemeClr val="bg1"/>
                </a:solidFill>
              </a:endParaRPr>
            </a:p>
          </xdr:txBody>
        </xdr:sp>
        <xdr:pic macro="[0]!Trans_CancelNew">
          <xdr:nvPicPr>
            <xdr:cNvPr id="9" name="Picture 8" hidden="1">
              <a:extLst>
                <a:ext uri="{FF2B5EF4-FFF2-40B4-BE49-F238E27FC236}">
                  <a16:creationId xmlns:a16="http://schemas.microsoft.com/office/drawing/2014/main" id="{0472C6F6-1C35-4BBD-9717-8DB4435A97E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33850" y="2927350"/>
              <a:ext cx="838200" cy="22225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5</xdr:col>
      <xdr:colOff>552450</xdr:colOff>
      <xdr:row>9</xdr:row>
      <xdr:rowOff>158750</xdr:rowOff>
    </xdr:from>
    <xdr:to>
      <xdr:col>9</xdr:col>
      <xdr:colOff>654050</xdr:colOff>
      <xdr:row>11</xdr:row>
      <xdr:rowOff>120650</xdr:rowOff>
    </xdr:to>
    <xdr:grpSp>
      <xdr:nvGrpSpPr>
        <xdr:cNvPr id="12" name="exist group">
          <a:extLst>
            <a:ext uri="{FF2B5EF4-FFF2-40B4-BE49-F238E27FC236}">
              <a16:creationId xmlns:a16="http://schemas.microsoft.com/office/drawing/2014/main" id="{7EC9DAB3-C4E9-4661-9282-D78384AD29F2}"/>
            </a:ext>
          </a:extLst>
        </xdr:cNvPr>
        <xdr:cNvGrpSpPr/>
      </xdr:nvGrpSpPr>
      <xdr:grpSpPr>
        <a:xfrm>
          <a:off x="3511550" y="2038350"/>
          <a:ext cx="3282950" cy="330200"/>
          <a:chOff x="1752600" y="2451100"/>
          <a:chExt cx="3282950" cy="317500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4F69E54E-C23E-46C2-8E59-E722043B31AF}"/>
              </a:ext>
            </a:extLst>
          </xdr:cNvPr>
          <xdr:cNvGrpSpPr/>
        </xdr:nvGrpSpPr>
        <xdr:grpSpPr>
          <a:xfrm>
            <a:off x="2876550" y="2454275"/>
            <a:ext cx="1035050" cy="311150"/>
            <a:chOff x="2863850" y="2451100"/>
            <a:chExt cx="1035050" cy="311150"/>
          </a:xfrm>
        </xdr:grpSpPr>
        <xdr:sp macro="[0]!Trans_saveupdate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D820C23-8F33-4E08-8C53-956E73B620EA}"/>
                </a:ext>
              </a:extLst>
            </xdr:cNvPr>
            <xdr:cNvSpPr/>
          </xdr:nvSpPr>
          <xdr:spPr>
            <a:xfrm>
              <a:off x="286385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Update</a:t>
              </a:r>
            </a:p>
          </xdr:txBody>
        </xdr:sp>
        <xdr:pic macro="[0]!Trans_saveupdate">
          <xdr:nvPicPr>
            <xdr:cNvPr id="21" name="Picture 20">
              <a:extLst>
                <a:ext uri="{FF2B5EF4-FFF2-40B4-BE49-F238E27FC236}">
                  <a16:creationId xmlns:a16="http://schemas.microsoft.com/office/drawing/2014/main" id="{DFDE0575-D7EC-463B-82DC-BF2EA7D214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0050" y="2509800"/>
              <a:ext cx="302403" cy="208000"/>
            </a:xfrm>
            <a:prstGeom prst="rect">
              <a:avLst/>
            </a:prstGeom>
          </xdr:spPr>
        </xdr:pic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8971CE82-B878-4954-A2E1-D6CDEA9894CD}"/>
              </a:ext>
            </a:extLst>
          </xdr:cNvPr>
          <xdr:cNvGrpSpPr/>
        </xdr:nvGrpSpPr>
        <xdr:grpSpPr>
          <a:xfrm>
            <a:off x="4000500" y="2457450"/>
            <a:ext cx="1035050" cy="311150"/>
            <a:chOff x="4000500" y="2457450"/>
            <a:chExt cx="1035050" cy="311150"/>
          </a:xfrm>
        </xdr:grpSpPr>
        <xdr:sp macro="[0]!Trans_Delete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AA64A788-7AC2-4A6E-B117-832C114BA02D}"/>
                </a:ext>
              </a:extLst>
            </xdr:cNvPr>
            <xdr:cNvSpPr/>
          </xdr:nvSpPr>
          <xdr:spPr>
            <a:xfrm>
              <a:off x="4000500" y="24574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Delete</a:t>
              </a:r>
            </a:p>
          </xdr:txBody>
        </xdr:sp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A825D7D3-8E88-4CC1-AEEE-558F065DC9E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16300" y="247960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E096B4A3-CB7D-44DF-B7A3-E6A84316DA09}"/>
              </a:ext>
            </a:extLst>
          </xdr:cNvPr>
          <xdr:cNvGrpSpPr/>
        </xdr:nvGrpSpPr>
        <xdr:grpSpPr>
          <a:xfrm>
            <a:off x="1752600" y="2451100"/>
            <a:ext cx="1035050" cy="311150"/>
            <a:chOff x="1752600" y="2451100"/>
            <a:chExt cx="1035050" cy="311150"/>
          </a:xfrm>
        </xdr:grpSpPr>
        <xdr:sp macro="[0]!Trans_AddNew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4CDC941C-3162-4E5B-9C1F-1A91012B6E2C}"/>
                </a:ext>
              </a:extLst>
            </xdr:cNvPr>
            <xdr:cNvSpPr/>
          </xdr:nvSpPr>
          <xdr:spPr>
            <a:xfrm>
              <a:off x="175260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Add New</a:t>
              </a:r>
            </a:p>
          </xdr:txBody>
        </xdr:sp>
        <xdr:pic macro="[0]!Trans_AddNew">
          <xdr:nvPicPr>
            <xdr:cNvPr id="17" name="Picture 16">
              <a:extLst>
                <a:ext uri="{FF2B5EF4-FFF2-40B4-BE49-F238E27FC236}">
                  <a16:creationId xmlns:a16="http://schemas.microsoft.com/office/drawing/2014/main" id="{9C95C540-2E0C-43ED-B40C-21D34EECD33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47850" y="2508250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558800</xdr:colOff>
      <xdr:row>12</xdr:row>
      <xdr:rowOff>38100</xdr:rowOff>
    </xdr:from>
    <xdr:to>
      <xdr:col>13</xdr:col>
      <xdr:colOff>114300</xdr:colOff>
      <xdr:row>13</xdr:row>
      <xdr:rowOff>165100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49126728-9AD5-49EF-895E-40ADFB273030}"/>
            </a:ext>
          </a:extLst>
        </xdr:cNvPr>
        <xdr:cNvGrpSpPr/>
      </xdr:nvGrpSpPr>
      <xdr:grpSpPr>
        <a:xfrm>
          <a:off x="8515350" y="2470150"/>
          <a:ext cx="1111250" cy="323850"/>
          <a:chOff x="6788150" y="2349500"/>
          <a:chExt cx="1111250" cy="311150"/>
        </a:xfrm>
      </xdr:grpSpPr>
      <xdr:sp macro="[0]!Trans_AddAttach" textlink="">
        <xdr:nvSpPr>
          <xdr:cNvPr id="23" name="Rectangle 22">
            <a:extLst>
              <a:ext uri="{FF2B5EF4-FFF2-40B4-BE49-F238E27FC236}">
                <a16:creationId xmlns:a16="http://schemas.microsoft.com/office/drawing/2014/main" id="{6E3644F0-361D-49A2-819C-7E8CB0E6E1BD}"/>
              </a:ext>
            </a:extLst>
          </xdr:cNvPr>
          <xdr:cNvSpPr/>
        </xdr:nvSpPr>
        <xdr:spPr>
          <a:xfrm>
            <a:off x="6788150" y="2349500"/>
            <a:ext cx="1111250" cy="311150"/>
          </a:xfrm>
          <a:prstGeom prst="rect">
            <a:avLst/>
          </a:prstGeom>
          <a:solidFill>
            <a:srgbClr val="0070C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>
                <a:solidFill>
                  <a:schemeClr val="bg1"/>
                </a:solidFill>
              </a:rPr>
              <a:t>Add Attach</a:t>
            </a:r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42FD0580-AF84-4057-8223-B80D89B81F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38950" y="239395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381000</xdr:colOff>
      <xdr:row>0</xdr:row>
      <xdr:rowOff>0</xdr:rowOff>
    </xdr:from>
    <xdr:to>
      <xdr:col>3</xdr:col>
      <xdr:colOff>889610</xdr:colOff>
      <xdr:row>1</xdr:row>
      <xdr:rowOff>142240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6C7EB7D0-11A3-4FFD-BDB1-1751CC75E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" y="0"/>
          <a:ext cx="50861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28" name="Rectangle 27">
          <a:extLst>
            <a:ext uri="{FF2B5EF4-FFF2-40B4-BE49-F238E27FC236}">
              <a16:creationId xmlns:a16="http://schemas.microsoft.com/office/drawing/2014/main" id="{40CA2B60-CA48-48A3-BA49-446CE06016DB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87122</xdr:rowOff>
    </xdr:to>
    <xdr:sp macro="[0]!menu_home" textlink="">
      <xdr:nvSpPr>
        <xdr:cNvPr id="29" name="Rectangle 28">
          <a:extLst>
            <a:ext uri="{FF2B5EF4-FFF2-40B4-BE49-F238E27FC236}">
              <a16:creationId xmlns:a16="http://schemas.microsoft.com/office/drawing/2014/main" id="{8CB208F0-1746-4320-9732-D322A1BD5C02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108712</xdr:rowOff>
    </xdr:to>
    <xdr:sp macro="[0]!menu_properties" textlink="">
      <xdr:nvSpPr>
        <xdr:cNvPr id="30" name="Rectangle 29">
          <a:extLst>
            <a:ext uri="{FF2B5EF4-FFF2-40B4-BE49-F238E27FC236}">
              <a16:creationId xmlns:a16="http://schemas.microsoft.com/office/drawing/2014/main" id="{A8B8B4C4-AF64-4C30-9B61-5463B0ED8AEA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130302</xdr:rowOff>
    </xdr:to>
    <xdr:sp macro="[0]!menu_Trans" textlink="">
      <xdr:nvSpPr>
        <xdr:cNvPr id="31" name="Rectangle 30">
          <a:extLst>
            <a:ext uri="{FF2B5EF4-FFF2-40B4-BE49-F238E27FC236}">
              <a16:creationId xmlns:a16="http://schemas.microsoft.com/office/drawing/2014/main" id="{DCA0B7A0-0EFB-4F1A-BBD0-5DC73323499E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151892</xdr:rowOff>
    </xdr:to>
    <xdr:sp macro="[0]!menu_alerts" textlink="">
      <xdr:nvSpPr>
        <xdr:cNvPr id="32" name="Rectangle 31">
          <a:extLst>
            <a:ext uri="{FF2B5EF4-FFF2-40B4-BE49-F238E27FC236}">
              <a16:creationId xmlns:a16="http://schemas.microsoft.com/office/drawing/2014/main" id="{3BA62CDD-8663-4969-8BD5-C7E724C7F4AF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173482</xdr:rowOff>
    </xdr:to>
    <xdr:sp macro="[0]!menu_Dashboard" textlink="">
      <xdr:nvSpPr>
        <xdr:cNvPr id="33" name="Rectangle 32">
          <a:extLst>
            <a:ext uri="{FF2B5EF4-FFF2-40B4-BE49-F238E27FC236}">
              <a16:creationId xmlns:a16="http://schemas.microsoft.com/office/drawing/2014/main" id="{FCE16004-38B7-446C-B4E4-8C95F5715824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127000</xdr:colOff>
      <xdr:row>7</xdr:row>
      <xdr:rowOff>120650</xdr:rowOff>
    </xdr:from>
    <xdr:to>
      <xdr:col>9</xdr:col>
      <xdr:colOff>50800</xdr:colOff>
      <xdr:row>9</xdr:row>
      <xdr:rowOff>57150</xdr:rowOff>
    </xdr:to>
    <xdr:grpSp>
      <xdr:nvGrpSpPr>
        <xdr:cNvPr id="2" name="NewGroup" hidden="1">
          <a:extLst>
            <a:ext uri="{FF2B5EF4-FFF2-40B4-BE49-F238E27FC236}">
              <a16:creationId xmlns:a16="http://schemas.microsoft.com/office/drawing/2014/main" id="{E85E8BE3-2ADA-42B3-A434-0818F1B3D36A}"/>
            </a:ext>
          </a:extLst>
        </xdr:cNvPr>
        <xdr:cNvGrpSpPr/>
      </xdr:nvGrpSpPr>
      <xdr:grpSpPr>
        <a:xfrm>
          <a:off x="3632200" y="1701800"/>
          <a:ext cx="2139950" cy="330200"/>
          <a:chOff x="2895600" y="2882900"/>
          <a:chExt cx="2139950" cy="317500"/>
        </a:xfrm>
      </xdr:grpSpPr>
      <xdr:grpSp>
        <xdr:nvGrpSpPr>
          <xdr:cNvPr id="3" name="Group 2" hidden="1">
            <a:extLst>
              <a:ext uri="{FF2B5EF4-FFF2-40B4-BE49-F238E27FC236}">
                <a16:creationId xmlns:a16="http://schemas.microsoft.com/office/drawing/2014/main" id="{30D6D58C-5B5B-4FD6-88FF-842A5B525126}"/>
              </a:ext>
            </a:extLst>
          </xdr:cNvPr>
          <xdr:cNvGrpSpPr/>
        </xdr:nvGrpSpPr>
        <xdr:grpSpPr>
          <a:xfrm>
            <a:off x="2895600" y="2882900"/>
            <a:ext cx="1035050" cy="311150"/>
            <a:chOff x="2895600" y="2882900"/>
            <a:chExt cx="1035050" cy="311150"/>
          </a:xfrm>
        </xdr:grpSpPr>
        <xdr:sp macro="[0]!Alert_saveupdate" textlink="">
          <xdr:nvSpPr>
            <xdr:cNvPr id="7" name="Rectangle 6" hidden="1">
              <a:extLst>
                <a:ext uri="{FF2B5EF4-FFF2-40B4-BE49-F238E27FC236}">
                  <a16:creationId xmlns:a16="http://schemas.microsoft.com/office/drawing/2014/main" id="{A831FC94-B107-406F-8E88-8A4B3A9570A6}"/>
                </a:ext>
              </a:extLst>
            </xdr:cNvPr>
            <xdr:cNvSpPr/>
          </xdr:nvSpPr>
          <xdr:spPr>
            <a:xfrm>
              <a:off x="2895600" y="28829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Save</a:t>
              </a:r>
            </a:p>
          </xdr:txBody>
        </xdr:sp>
        <xdr:pic macro="[0]!Alert_saveupdate">
          <xdr:nvPicPr>
            <xdr:cNvPr id="8" name="Picture 7" hidden="1">
              <a:extLst>
                <a:ext uri="{FF2B5EF4-FFF2-40B4-BE49-F238E27FC236}">
                  <a16:creationId xmlns:a16="http://schemas.microsoft.com/office/drawing/2014/main" id="{CEB5E1A9-C0C7-4689-96C5-4671B1C32B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82100" y="2940050"/>
              <a:ext cx="326254" cy="209550"/>
            </a:xfrm>
            <a:prstGeom prst="rect">
              <a:avLst/>
            </a:prstGeom>
          </xdr:spPr>
        </xdr:pic>
      </xdr:grpSp>
      <xdr:grpSp>
        <xdr:nvGrpSpPr>
          <xdr:cNvPr id="4" name="Group 3" hidden="1">
            <a:extLst>
              <a:ext uri="{FF2B5EF4-FFF2-40B4-BE49-F238E27FC236}">
                <a16:creationId xmlns:a16="http://schemas.microsoft.com/office/drawing/2014/main" id="{60B0A6F9-63F2-4892-BB95-01A02A24A2EA}"/>
              </a:ext>
            </a:extLst>
          </xdr:cNvPr>
          <xdr:cNvGrpSpPr/>
        </xdr:nvGrpSpPr>
        <xdr:grpSpPr>
          <a:xfrm>
            <a:off x="4000500" y="2889250"/>
            <a:ext cx="1035050" cy="311150"/>
            <a:chOff x="4038600" y="2889250"/>
            <a:chExt cx="1035050" cy="311150"/>
          </a:xfrm>
        </xdr:grpSpPr>
        <xdr:sp macro="" textlink="">
          <xdr:nvSpPr>
            <xdr:cNvPr id="5" name="Rectangle 4" hidden="1">
              <a:extLst>
                <a:ext uri="{FF2B5EF4-FFF2-40B4-BE49-F238E27FC236}">
                  <a16:creationId xmlns:a16="http://schemas.microsoft.com/office/drawing/2014/main" id="{383D4489-B572-402F-A1D6-EFA8D529190E}"/>
                </a:ext>
              </a:extLst>
            </xdr:cNvPr>
            <xdr:cNvSpPr/>
          </xdr:nvSpPr>
          <xdr:spPr>
            <a:xfrm>
              <a:off x="4038600" y="28892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endParaRPr lang="en-US" sz="1200">
                <a:solidFill>
                  <a:schemeClr val="bg1"/>
                </a:solidFill>
              </a:endParaRPr>
            </a:p>
          </xdr:txBody>
        </xdr:sp>
        <xdr:pic>
          <xdr:nvPicPr>
            <xdr:cNvPr id="6" name="Picture 5" hidden="1">
              <a:extLst>
                <a:ext uri="{FF2B5EF4-FFF2-40B4-BE49-F238E27FC236}">
                  <a16:creationId xmlns:a16="http://schemas.microsoft.com/office/drawing/2014/main" id="{A6FB57EA-77C1-4E59-870D-30C09D36D1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33850" y="2927350"/>
              <a:ext cx="838200" cy="22225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5</xdr:col>
      <xdr:colOff>19050</xdr:colOff>
      <xdr:row>7</xdr:row>
      <xdr:rowOff>127000</xdr:rowOff>
    </xdr:from>
    <xdr:to>
      <xdr:col>9</xdr:col>
      <xdr:colOff>69850</xdr:colOff>
      <xdr:row>9</xdr:row>
      <xdr:rowOff>63500</xdr:rowOff>
    </xdr:to>
    <xdr:grpSp>
      <xdr:nvGrpSpPr>
        <xdr:cNvPr id="9" name="exist group">
          <a:extLst>
            <a:ext uri="{FF2B5EF4-FFF2-40B4-BE49-F238E27FC236}">
              <a16:creationId xmlns:a16="http://schemas.microsoft.com/office/drawing/2014/main" id="{9EFE958F-0E7A-4D07-9BF7-B518814ED23F}"/>
            </a:ext>
          </a:extLst>
        </xdr:cNvPr>
        <xdr:cNvGrpSpPr/>
      </xdr:nvGrpSpPr>
      <xdr:grpSpPr>
        <a:xfrm>
          <a:off x="2508250" y="1708150"/>
          <a:ext cx="3282950" cy="330200"/>
          <a:chOff x="1752600" y="2451100"/>
          <a:chExt cx="3282950" cy="31750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16DFF7DE-04FE-4A1D-9745-A5D1C68DBF31}"/>
              </a:ext>
            </a:extLst>
          </xdr:cNvPr>
          <xdr:cNvGrpSpPr/>
        </xdr:nvGrpSpPr>
        <xdr:grpSpPr>
          <a:xfrm>
            <a:off x="2876550" y="2454275"/>
            <a:ext cx="1035050" cy="311150"/>
            <a:chOff x="2863850" y="2451100"/>
            <a:chExt cx="1035050" cy="311150"/>
          </a:xfrm>
        </xdr:grpSpPr>
        <xdr:sp macro="[0]!Alert_saveupdate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9EDAA053-B3D0-45AB-98C0-54D30FF41B7C}"/>
                </a:ext>
              </a:extLst>
            </xdr:cNvPr>
            <xdr:cNvSpPr/>
          </xdr:nvSpPr>
          <xdr:spPr>
            <a:xfrm>
              <a:off x="286385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Update</a:t>
              </a:r>
            </a:p>
          </xdr:txBody>
        </xdr:sp>
        <xdr:pic macro="[0]!Alert_saveupdate">
          <xdr:nvPicPr>
            <xdr:cNvPr id="18" name="Picture 17">
              <a:extLst>
                <a:ext uri="{FF2B5EF4-FFF2-40B4-BE49-F238E27FC236}">
                  <a16:creationId xmlns:a16="http://schemas.microsoft.com/office/drawing/2014/main" id="{9BFB5E06-1D24-449D-B3A7-41A092505E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0050" y="2509800"/>
              <a:ext cx="302403" cy="208000"/>
            </a:xfrm>
            <a:prstGeom prst="rect">
              <a:avLst/>
            </a:prstGeom>
          </xdr:spPr>
        </xdr:pic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CC8A341B-9C92-47B6-97F1-7E017FE7923D}"/>
              </a:ext>
            </a:extLst>
          </xdr:cNvPr>
          <xdr:cNvGrpSpPr/>
        </xdr:nvGrpSpPr>
        <xdr:grpSpPr>
          <a:xfrm>
            <a:off x="4000500" y="2457450"/>
            <a:ext cx="1035050" cy="311150"/>
            <a:chOff x="4000500" y="2457450"/>
            <a:chExt cx="1035050" cy="311150"/>
          </a:xfrm>
        </xdr:grpSpPr>
        <xdr:sp macro="[0]!Alert_Delete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4091C6EA-1B7C-4A22-A835-DCBF9FBCD243}"/>
                </a:ext>
              </a:extLst>
            </xdr:cNvPr>
            <xdr:cNvSpPr/>
          </xdr:nvSpPr>
          <xdr:spPr>
            <a:xfrm>
              <a:off x="4000500" y="24574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Delete</a:t>
              </a:r>
            </a:p>
          </xdr:txBody>
        </xdr:sp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22E82269-65FA-4D58-ACE7-623CD0E38B5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16300" y="247960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EF06B7B2-E214-417A-8D90-70CACB7F8905}"/>
              </a:ext>
            </a:extLst>
          </xdr:cNvPr>
          <xdr:cNvGrpSpPr/>
        </xdr:nvGrpSpPr>
        <xdr:grpSpPr>
          <a:xfrm>
            <a:off x="1752600" y="2451100"/>
            <a:ext cx="1035050" cy="311150"/>
            <a:chOff x="1752600" y="2451100"/>
            <a:chExt cx="1035050" cy="311150"/>
          </a:xfrm>
        </xdr:grpSpPr>
        <xdr:sp macro="[0]!Alert_AddNew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20D6CF38-C5A9-4E10-AA06-82263954A547}"/>
                </a:ext>
              </a:extLst>
            </xdr:cNvPr>
            <xdr:cNvSpPr/>
          </xdr:nvSpPr>
          <xdr:spPr>
            <a:xfrm>
              <a:off x="175260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Add New</a:t>
              </a:r>
            </a:p>
          </xdr:txBody>
        </xdr:sp>
        <xdr:pic>
          <xdr:nvPicPr>
            <xdr:cNvPr id="14" name="Picture 13">
              <a:extLst>
                <a:ext uri="{FF2B5EF4-FFF2-40B4-BE49-F238E27FC236}">
                  <a16:creationId xmlns:a16="http://schemas.microsoft.com/office/drawing/2014/main" id="{0BC781B1-8848-4474-B752-4078E4A208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47850" y="2508250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596900</xdr:colOff>
      <xdr:row>0</xdr:row>
      <xdr:rowOff>31750</xdr:rowOff>
    </xdr:from>
    <xdr:to>
      <xdr:col>12</xdr:col>
      <xdr:colOff>538389</xdr:colOff>
      <xdr:row>1</xdr:row>
      <xdr:rowOff>173990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50054FF-FC60-4339-A552-E1BEAA8F8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2750" y="31750"/>
          <a:ext cx="551089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25" name="Rectangle 24">
          <a:extLst>
            <a:ext uri="{FF2B5EF4-FFF2-40B4-BE49-F238E27FC236}">
              <a16:creationId xmlns:a16="http://schemas.microsoft.com/office/drawing/2014/main" id="{54AA502D-C4A3-47F8-B17F-A43D8F5671B0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80772</xdr:rowOff>
    </xdr:to>
    <xdr:sp macro="[0]!menu_home" textlink="">
      <xdr:nvSpPr>
        <xdr:cNvPr id="26" name="Rectangle 25">
          <a:extLst>
            <a:ext uri="{FF2B5EF4-FFF2-40B4-BE49-F238E27FC236}">
              <a16:creationId xmlns:a16="http://schemas.microsoft.com/office/drawing/2014/main" id="{F53ECC61-66BF-4C42-ABDF-439FAC1CCB54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96012</xdr:rowOff>
    </xdr:to>
    <xdr:sp macro="[0]!menu_properties" textlink="">
      <xdr:nvSpPr>
        <xdr:cNvPr id="27" name="Rectangle 26">
          <a:extLst>
            <a:ext uri="{FF2B5EF4-FFF2-40B4-BE49-F238E27FC236}">
              <a16:creationId xmlns:a16="http://schemas.microsoft.com/office/drawing/2014/main" id="{C6BAB1AB-6B91-4C8B-A20E-71F1B534919D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117602</xdr:rowOff>
    </xdr:to>
    <xdr:sp macro="[0]!menu_Trans" textlink="">
      <xdr:nvSpPr>
        <xdr:cNvPr id="28" name="Rectangle 27">
          <a:extLst>
            <a:ext uri="{FF2B5EF4-FFF2-40B4-BE49-F238E27FC236}">
              <a16:creationId xmlns:a16="http://schemas.microsoft.com/office/drawing/2014/main" id="{F7BD477C-EBF2-43DA-B909-F16C21AF0E99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139192</xdr:rowOff>
    </xdr:to>
    <xdr:sp macro="[0]!menu_alerts" textlink="">
      <xdr:nvSpPr>
        <xdr:cNvPr id="29" name="Rectangle 28">
          <a:extLst>
            <a:ext uri="{FF2B5EF4-FFF2-40B4-BE49-F238E27FC236}">
              <a16:creationId xmlns:a16="http://schemas.microsoft.com/office/drawing/2014/main" id="{B4511B06-289B-4663-BCE2-D626087609F4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160782</xdr:rowOff>
    </xdr:to>
    <xdr:sp macro="[0]!menu_Dashboard" textlink="">
      <xdr:nvSpPr>
        <xdr:cNvPr id="30" name="Rectangle 29">
          <a:extLst>
            <a:ext uri="{FF2B5EF4-FFF2-40B4-BE49-F238E27FC236}">
              <a16:creationId xmlns:a16="http://schemas.microsoft.com/office/drawing/2014/main" id="{09774D88-E397-43C2-943E-8ABA1222C770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88900</xdr:colOff>
      <xdr:row>0</xdr:row>
      <xdr:rowOff>6350</xdr:rowOff>
    </xdr:from>
    <xdr:to>
      <xdr:col>6</xdr:col>
      <xdr:colOff>27940</xdr:colOff>
      <xdr:row>1</xdr:row>
      <xdr:rowOff>116840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DD20D2-0938-466B-8884-20D4F8F24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6900" y="6350"/>
          <a:ext cx="54864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4" name="Rectangle 3">
          <a:extLst>
            <a:ext uri="{FF2B5EF4-FFF2-40B4-BE49-F238E27FC236}">
              <a16:creationId xmlns:a16="http://schemas.microsoft.com/office/drawing/2014/main" id="{D8431C66-4E3E-4527-98DD-DC9DCDF71C54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87122</xdr:rowOff>
    </xdr:to>
    <xdr:sp macro="[0]!menu_home" textlink="">
      <xdr:nvSpPr>
        <xdr:cNvPr id="5" name="Rectangle 4">
          <a:extLst>
            <a:ext uri="{FF2B5EF4-FFF2-40B4-BE49-F238E27FC236}">
              <a16:creationId xmlns:a16="http://schemas.microsoft.com/office/drawing/2014/main" id="{88982AB5-5444-4439-8381-E4A722732907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102362</xdr:rowOff>
    </xdr:to>
    <xdr:sp macro="[0]!menu_properties" textlink="">
      <xdr:nvSpPr>
        <xdr:cNvPr id="6" name="Rectangle 5">
          <a:extLst>
            <a:ext uri="{FF2B5EF4-FFF2-40B4-BE49-F238E27FC236}">
              <a16:creationId xmlns:a16="http://schemas.microsoft.com/office/drawing/2014/main" id="{6CAB2CBC-5BDA-49E2-8588-4584C3B58828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130302</xdr:rowOff>
    </xdr:to>
    <xdr:sp macro="[0]!menu_Trans" textlink="">
      <xdr:nvSpPr>
        <xdr:cNvPr id="7" name="Rectangle 6">
          <a:extLst>
            <a:ext uri="{FF2B5EF4-FFF2-40B4-BE49-F238E27FC236}">
              <a16:creationId xmlns:a16="http://schemas.microsoft.com/office/drawing/2014/main" id="{8F882FCE-2DC4-4CBC-BB2A-F7FF14272A2F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151892</xdr:rowOff>
    </xdr:to>
    <xdr:sp macro="[0]!menu_alerts" textlink="">
      <xdr:nvSpPr>
        <xdr:cNvPr id="8" name="Rectangle 7">
          <a:extLst>
            <a:ext uri="{FF2B5EF4-FFF2-40B4-BE49-F238E27FC236}">
              <a16:creationId xmlns:a16="http://schemas.microsoft.com/office/drawing/2014/main" id="{2A20589C-39FF-4EDF-9C25-00DE88DBCCE4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173482</xdr:rowOff>
    </xdr:to>
    <xdr:sp macro="[0]!menu_Dashboard" textlink="">
      <xdr:nvSpPr>
        <xdr:cNvPr id="9" name="Rectangle 8">
          <a:extLst>
            <a:ext uri="{FF2B5EF4-FFF2-40B4-BE49-F238E27FC236}">
              <a16:creationId xmlns:a16="http://schemas.microsoft.com/office/drawing/2014/main" id="{2B0C8EE1-62DB-4AC1-BA55-F17ECF141443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uthuijackson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0E6DF-6E1F-4E0A-83DA-9A0D3BF9B92F}">
  <sheetPr codeName="Sheet1"/>
  <dimension ref="A1:C35"/>
  <sheetViews>
    <sheetView showGridLines="0" workbookViewId="0">
      <selection sqref="A1:A1048576"/>
    </sheetView>
  </sheetViews>
  <sheetFormatPr defaultRowHeight="14.5" x14ac:dyDescent="0.35"/>
  <cols>
    <col min="1" max="1" width="86.26953125" customWidth="1"/>
    <col min="2" max="2" width="60.90625" customWidth="1"/>
    <col min="3" max="3" width="15.7265625" customWidth="1"/>
  </cols>
  <sheetData>
    <row r="1" spans="1:3" ht="37" x14ac:dyDescent="0.35">
      <c r="A1" s="38" t="s">
        <v>0</v>
      </c>
      <c r="B1" s="39"/>
      <c r="C1" s="1"/>
    </row>
    <row r="2" spans="1:3" x14ac:dyDescent="0.35">
      <c r="A2" s="2"/>
      <c r="B2" s="2"/>
      <c r="C2" s="2"/>
    </row>
    <row r="3" spans="1:3" x14ac:dyDescent="0.35">
      <c r="A3" s="2"/>
      <c r="B3" s="2"/>
      <c r="C3" s="2"/>
    </row>
    <row r="4" spans="1:3" x14ac:dyDescent="0.35">
      <c r="A4" s="2"/>
      <c r="B4" s="2"/>
      <c r="C4" s="2"/>
    </row>
    <row r="5" spans="1:3" x14ac:dyDescent="0.35">
      <c r="A5" s="2"/>
      <c r="B5" s="2"/>
      <c r="C5" s="2"/>
    </row>
    <row r="6" spans="1:3" x14ac:dyDescent="0.35">
      <c r="A6" s="2"/>
      <c r="B6" s="2"/>
      <c r="C6" s="2"/>
    </row>
    <row r="7" spans="1:3" x14ac:dyDescent="0.35">
      <c r="A7" s="2"/>
      <c r="B7" s="2"/>
      <c r="C7" s="2"/>
    </row>
    <row r="8" spans="1:3" x14ac:dyDescent="0.35">
      <c r="A8" s="2"/>
      <c r="B8" s="2"/>
      <c r="C8" s="2"/>
    </row>
    <row r="9" spans="1:3" x14ac:dyDescent="0.35">
      <c r="A9" s="2"/>
      <c r="B9" s="2"/>
      <c r="C9" s="2"/>
    </row>
    <row r="10" spans="1:3" x14ac:dyDescent="0.35">
      <c r="A10" s="2"/>
      <c r="B10" s="2"/>
      <c r="C10" s="2"/>
    </row>
    <row r="11" spans="1:3" x14ac:dyDescent="0.35">
      <c r="A11" s="2"/>
      <c r="B11" s="2"/>
      <c r="C11" s="2"/>
    </row>
    <row r="12" spans="1:3" x14ac:dyDescent="0.35">
      <c r="A12" s="2"/>
      <c r="B12" s="2"/>
      <c r="C12" s="2"/>
    </row>
    <row r="13" spans="1:3" x14ac:dyDescent="0.35">
      <c r="A13" s="2"/>
      <c r="B13" s="2"/>
      <c r="C13" s="2"/>
    </row>
    <row r="14" spans="1:3" x14ac:dyDescent="0.35">
      <c r="A14" s="2"/>
      <c r="B14" s="2"/>
      <c r="C14" s="2"/>
    </row>
    <row r="15" spans="1:3" x14ac:dyDescent="0.35">
      <c r="A15" s="2"/>
      <c r="B15" s="2"/>
      <c r="C15" s="2"/>
    </row>
    <row r="16" spans="1:3" x14ac:dyDescent="0.35">
      <c r="A16" s="2"/>
      <c r="B16" s="2"/>
      <c r="C16" s="2"/>
    </row>
    <row r="17" spans="1:3" x14ac:dyDescent="0.35">
      <c r="A17" s="2"/>
      <c r="B17" s="2" t="s">
        <v>1</v>
      </c>
      <c r="C17" s="2"/>
    </row>
    <row r="18" spans="1:3" x14ac:dyDescent="0.35">
      <c r="A18" s="2"/>
      <c r="B18" s="2"/>
      <c r="C18" s="2"/>
    </row>
    <row r="19" spans="1:3" x14ac:dyDescent="0.35">
      <c r="A19" s="2"/>
      <c r="B19" s="2"/>
      <c r="C19" s="2"/>
    </row>
    <row r="20" spans="1:3" x14ac:dyDescent="0.35">
      <c r="A20" s="2"/>
      <c r="B20" s="2"/>
      <c r="C20" s="2"/>
    </row>
    <row r="21" spans="1:3" x14ac:dyDescent="0.35">
      <c r="A21" s="2"/>
      <c r="B21" s="2"/>
      <c r="C21" s="2"/>
    </row>
    <row r="22" spans="1:3" x14ac:dyDescent="0.35">
      <c r="A22" s="2"/>
      <c r="B22" s="2"/>
      <c r="C22" s="2"/>
    </row>
    <row r="23" spans="1:3" x14ac:dyDescent="0.35">
      <c r="A23" s="2"/>
      <c r="B23" s="2"/>
      <c r="C23" s="2"/>
    </row>
    <row r="24" spans="1:3" x14ac:dyDescent="0.35">
      <c r="A24" s="2"/>
      <c r="B24" s="2"/>
      <c r="C24" s="2"/>
    </row>
    <row r="25" spans="1:3" x14ac:dyDescent="0.35">
      <c r="A25" s="2"/>
      <c r="B25" s="2"/>
      <c r="C25" s="2"/>
    </row>
    <row r="26" spans="1:3" x14ac:dyDescent="0.35">
      <c r="A26" s="2"/>
      <c r="B26" s="2"/>
      <c r="C26" s="2"/>
    </row>
    <row r="27" spans="1:3" x14ac:dyDescent="0.35">
      <c r="A27" s="2"/>
      <c r="B27" s="2"/>
      <c r="C27" s="2"/>
    </row>
    <row r="28" spans="1:3" x14ac:dyDescent="0.35">
      <c r="A28" s="2"/>
      <c r="B28" s="2"/>
      <c r="C28" s="2"/>
    </row>
    <row r="29" spans="1:3" x14ac:dyDescent="0.35">
      <c r="A29" s="2"/>
      <c r="B29" s="2"/>
      <c r="C29" s="2"/>
    </row>
    <row r="30" spans="1:3" x14ac:dyDescent="0.35">
      <c r="A30" s="2"/>
      <c r="B30" s="2"/>
      <c r="C30" s="2"/>
    </row>
    <row r="31" spans="1:3" x14ac:dyDescent="0.35">
      <c r="A31" s="2"/>
      <c r="B31" s="2"/>
      <c r="C31" s="2"/>
    </row>
    <row r="32" spans="1:3" x14ac:dyDescent="0.35">
      <c r="A32" s="2"/>
      <c r="B32" s="2"/>
      <c r="C32" s="2"/>
    </row>
    <row r="33" spans="1:3" x14ac:dyDescent="0.35">
      <c r="A33" s="2"/>
      <c r="B33" s="2"/>
      <c r="C33" s="2"/>
    </row>
    <row r="34" spans="1:3" x14ac:dyDescent="0.35">
      <c r="A34" s="2"/>
      <c r="B34" s="2"/>
      <c r="C34" s="2"/>
    </row>
    <row r="35" spans="1:3" x14ac:dyDescent="0.35">
      <c r="A35" s="2"/>
      <c r="B35" s="2"/>
      <c r="C35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89CA-ABB0-428F-8152-DCD9586BB265}">
  <sheetPr codeName="Sheet2"/>
  <dimension ref="A1:L35"/>
  <sheetViews>
    <sheetView topLeftCell="C1" workbookViewId="0">
      <selection activeCell="H19" sqref="H19"/>
    </sheetView>
  </sheetViews>
  <sheetFormatPr defaultRowHeight="14.5" x14ac:dyDescent="0.35"/>
  <cols>
    <col min="1" max="2" width="0" style="3" hidden="1" customWidth="1"/>
    <col min="3" max="3" width="15.7265625" customWidth="1"/>
    <col min="4" max="4" width="14.54296875" bestFit="1" customWidth="1"/>
    <col min="5" max="5" width="17.90625" customWidth="1"/>
    <col min="7" max="7" width="14.7265625" customWidth="1"/>
    <col min="8" max="8" width="10.26953125" bestFit="1" customWidth="1"/>
    <col min="9" max="9" width="29.6328125" customWidth="1"/>
    <col min="11" max="11" width="20.1796875" customWidth="1"/>
  </cols>
  <sheetData>
    <row r="1" spans="1:12" ht="32" customHeight="1" x14ac:dyDescent="0.35">
      <c r="C1" s="1"/>
      <c r="D1" s="40"/>
      <c r="E1" s="40"/>
      <c r="F1" s="40"/>
      <c r="G1" s="40"/>
      <c r="H1" s="40"/>
      <c r="I1" s="40"/>
      <c r="J1" s="40"/>
      <c r="K1" s="40"/>
      <c r="L1" s="39"/>
    </row>
    <row r="2" spans="1:12" x14ac:dyDescent="0.35"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35">
      <c r="A3" s="41" t="s">
        <v>87</v>
      </c>
      <c r="B3" s="41">
        <f ca="1">IFERROR(INDEX(Prop_ID,MATCH(E3,PROP_NAME,0),1)+3,"")</f>
        <v>8</v>
      </c>
      <c r="C3" s="2"/>
      <c r="D3" s="4" t="s">
        <v>2</v>
      </c>
      <c r="E3" s="6" t="s">
        <v>178</v>
      </c>
      <c r="F3" s="2"/>
      <c r="G3" s="2"/>
      <c r="H3" s="8" t="s">
        <v>11</v>
      </c>
      <c r="I3" s="9">
        <v>5</v>
      </c>
      <c r="J3" s="2"/>
      <c r="K3" s="11" t="s">
        <v>12</v>
      </c>
      <c r="L3" s="2"/>
    </row>
    <row r="4" spans="1:12" x14ac:dyDescent="0.35">
      <c r="A4" s="41" t="s">
        <v>88</v>
      </c>
      <c r="B4" s="41">
        <f ca="1">IFERROR(MATCH(I3,Prop_ID,0)+3,"")</f>
        <v>8</v>
      </c>
      <c r="C4" s="2"/>
      <c r="D4" s="2"/>
      <c r="E4" s="2"/>
      <c r="F4" s="2"/>
      <c r="G4" s="2"/>
      <c r="H4" s="2"/>
      <c r="I4" s="2"/>
      <c r="J4" s="2"/>
      <c r="K4" s="10"/>
      <c r="L4" s="2" t="s">
        <v>24</v>
      </c>
    </row>
    <row r="5" spans="1:12" x14ac:dyDescent="0.35">
      <c r="A5" s="41" t="s">
        <v>89</v>
      </c>
      <c r="B5" s="41" cm="1">
        <f t="array" aca="1" ref="B5" ca="1">IFERROR(MAX(Prop_ID +1),1)</f>
        <v>6</v>
      </c>
      <c r="C5" s="2"/>
      <c r="D5" s="8" t="s">
        <v>3</v>
      </c>
      <c r="E5" s="7" t="s">
        <v>178</v>
      </c>
      <c r="F5" s="8" t="s">
        <v>4</v>
      </c>
      <c r="G5" s="7" t="s">
        <v>179</v>
      </c>
      <c r="H5" s="8" t="s">
        <v>5</v>
      </c>
      <c r="I5" s="62">
        <v>45170</v>
      </c>
      <c r="J5" s="2"/>
      <c r="K5" s="10"/>
      <c r="L5" s="2" t="s">
        <v>24</v>
      </c>
    </row>
    <row r="6" spans="1:12" x14ac:dyDescent="0.35">
      <c r="A6" s="41" t="s">
        <v>90</v>
      </c>
      <c r="B6" s="41" cm="1">
        <f t="array" aca="1" ref="B6" ca="1">IFERROR(MAX(AttachID+1),1)</f>
        <v>1</v>
      </c>
      <c r="C6" s="2"/>
      <c r="D6" s="2"/>
      <c r="E6" s="2"/>
      <c r="F6" s="2"/>
      <c r="G6" s="2"/>
      <c r="H6" s="2"/>
      <c r="I6" s="2"/>
      <c r="J6" s="2"/>
      <c r="K6" s="10"/>
      <c r="L6" s="2" t="s">
        <v>24</v>
      </c>
    </row>
    <row r="7" spans="1:12" x14ac:dyDescent="0.35">
      <c r="A7" s="41"/>
      <c r="B7" s="41"/>
      <c r="C7" s="2"/>
      <c r="D7" s="8" t="s">
        <v>6</v>
      </c>
      <c r="E7" s="66" t="s">
        <v>180</v>
      </c>
      <c r="F7" s="66"/>
      <c r="G7" s="66"/>
      <c r="H7" s="66"/>
      <c r="I7" s="66"/>
      <c r="J7" s="2"/>
      <c r="K7" s="10"/>
      <c r="L7" s="2" t="s">
        <v>24</v>
      </c>
    </row>
    <row r="8" spans="1:12" x14ac:dyDescent="0.35">
      <c r="A8" s="41"/>
      <c r="B8" s="41"/>
      <c r="C8" s="2"/>
      <c r="D8" s="2"/>
      <c r="E8" s="2"/>
      <c r="F8" s="2"/>
      <c r="G8" s="2"/>
      <c r="H8" s="2"/>
      <c r="I8" s="2"/>
      <c r="J8" s="2"/>
      <c r="K8" s="10"/>
      <c r="L8" s="2" t="s">
        <v>24</v>
      </c>
    </row>
    <row r="9" spans="1:12" x14ac:dyDescent="0.35">
      <c r="A9" s="41"/>
      <c r="B9" s="41"/>
      <c r="C9" s="2"/>
      <c r="D9" s="8" t="s">
        <v>7</v>
      </c>
      <c r="E9" s="63" t="s">
        <v>181</v>
      </c>
      <c r="F9" s="8" t="s">
        <v>9</v>
      </c>
      <c r="G9" s="61">
        <v>254725909264</v>
      </c>
      <c r="H9" s="8" t="s">
        <v>10</v>
      </c>
      <c r="I9" s="65" t="s">
        <v>182</v>
      </c>
      <c r="J9" s="2"/>
      <c r="K9" s="10"/>
      <c r="L9" s="2" t="s">
        <v>24</v>
      </c>
    </row>
    <row r="10" spans="1:12" x14ac:dyDescent="0.35">
      <c r="C10" s="2"/>
      <c r="D10" s="2"/>
      <c r="E10" s="2"/>
      <c r="F10" s="2"/>
      <c r="G10" s="2"/>
      <c r="H10" s="2"/>
      <c r="I10" s="2"/>
      <c r="J10" s="2"/>
      <c r="K10" s="10"/>
      <c r="L10" s="2" t="s">
        <v>24</v>
      </c>
    </row>
    <row r="11" spans="1:12" x14ac:dyDescent="0.35">
      <c r="C11" s="2"/>
      <c r="D11" s="8" t="s">
        <v>8</v>
      </c>
      <c r="E11" s="63" t="s">
        <v>143</v>
      </c>
      <c r="F11" s="8" t="s">
        <v>9</v>
      </c>
      <c r="G11" s="61">
        <v>254713557878</v>
      </c>
      <c r="H11" s="8" t="s">
        <v>10</v>
      </c>
      <c r="I11" s="44"/>
      <c r="J11" s="2"/>
      <c r="K11" s="10"/>
      <c r="L11" s="2" t="s">
        <v>24</v>
      </c>
    </row>
    <row r="12" spans="1:12" x14ac:dyDescent="0.35"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ht="15.5" x14ac:dyDescent="0.35">
      <c r="C13" s="2"/>
      <c r="D13" s="2"/>
      <c r="E13" s="12"/>
      <c r="F13" s="2"/>
      <c r="G13" s="2"/>
      <c r="H13" s="2"/>
      <c r="I13" s="2"/>
      <c r="J13" s="2"/>
      <c r="K13" s="2"/>
      <c r="L13" s="2"/>
    </row>
    <row r="14" spans="1:12" x14ac:dyDescent="0.35"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5"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35"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3:12" x14ac:dyDescent="0.35"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3:12" x14ac:dyDescent="0.35"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3:12" x14ac:dyDescent="0.35"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3:12" x14ac:dyDescent="0.35"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3:12" x14ac:dyDescent="0.35"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3:12" x14ac:dyDescent="0.35"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3:12" x14ac:dyDescent="0.35"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3:12" x14ac:dyDescent="0.35"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3:12" x14ac:dyDescent="0.35"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3:12" x14ac:dyDescent="0.35"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3:12" x14ac:dyDescent="0.35"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3:12" x14ac:dyDescent="0.35"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3:12" x14ac:dyDescent="0.35"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3:12" x14ac:dyDescent="0.35"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3:12" x14ac:dyDescent="0.35"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3:12" x14ac:dyDescent="0.35"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3:12" x14ac:dyDescent="0.35"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3:12" x14ac:dyDescent="0.35"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3:12" x14ac:dyDescent="0.35">
      <c r="C35" s="2"/>
      <c r="D35" s="2"/>
      <c r="E35" s="2"/>
      <c r="F35" s="2"/>
      <c r="G35" s="2"/>
      <c r="H35" s="2"/>
      <c r="I35" s="2"/>
      <c r="J35" s="2"/>
      <c r="K35" s="2"/>
      <c r="L35" s="2"/>
    </row>
  </sheetData>
  <mergeCells count="1">
    <mergeCell ref="E7:I7"/>
  </mergeCells>
  <dataValidations count="1">
    <dataValidation type="list" allowBlank="1" showInputMessage="1" showErrorMessage="1" sqref="E3" xr:uid="{40235DDC-6FC3-4F79-9582-4696D9514E31}">
      <formula1>PROP_NAME</formula1>
    </dataValidation>
  </dataValidations>
  <hyperlinks>
    <hyperlink ref="I9" r:id="rId1" xr:uid="{00DB06AE-02A1-4384-BD74-E43A0EC38B95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E38A9-2D6B-4024-972E-D71D3A6BCA17}">
  <sheetPr codeName="Sheet3"/>
  <dimension ref="A1:N35"/>
  <sheetViews>
    <sheetView tabSelected="1" topLeftCell="C1" workbookViewId="0">
      <selection activeCell="D8" sqref="D8"/>
    </sheetView>
  </sheetViews>
  <sheetFormatPr defaultRowHeight="14.5" x14ac:dyDescent="0.35"/>
  <cols>
    <col min="1" max="1" width="10.81640625" style="3" hidden="1" customWidth="1"/>
    <col min="2" max="2" width="8.7265625" style="3" hidden="1" customWidth="1"/>
    <col min="3" max="3" width="17.26953125" customWidth="1"/>
    <col min="4" max="4" width="12.81640625" customWidth="1"/>
    <col min="5" max="5" width="7.08984375" customWidth="1"/>
    <col min="6" max="6" width="14.54296875" bestFit="1" customWidth="1"/>
    <col min="7" max="7" width="18.6328125" customWidth="1"/>
    <col min="9" max="9" width="18.7265625" customWidth="1"/>
    <col min="10" max="10" width="10.26953125" bestFit="1" customWidth="1"/>
    <col min="11" max="11" width="22.453125" customWidth="1"/>
    <col min="13" max="13" width="13.54296875" customWidth="1"/>
  </cols>
  <sheetData>
    <row r="1" spans="1:14" ht="32" customHeight="1" x14ac:dyDescent="0.35">
      <c r="C1" s="1"/>
      <c r="D1" s="39"/>
      <c r="E1" s="40" t="s">
        <v>13</v>
      </c>
      <c r="F1" s="40"/>
      <c r="G1" s="40"/>
      <c r="H1" s="40"/>
      <c r="I1" s="40"/>
      <c r="J1" s="40"/>
      <c r="K1" s="40"/>
      <c r="L1" s="40"/>
      <c r="M1" s="40"/>
      <c r="N1" s="39"/>
    </row>
    <row r="2" spans="1:14" x14ac:dyDescent="0.35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5">
      <c r="A3" s="26" t="s">
        <v>41</v>
      </c>
      <c r="B3" s="27">
        <f ca="1">IFERROR(INDEX(Prop_ID,MATCH(G3,PROP_NAME,0),1),"")</f>
        <v>2</v>
      </c>
      <c r="C3" s="2"/>
      <c r="D3" s="11" t="s">
        <v>14</v>
      </c>
      <c r="E3" s="2"/>
      <c r="F3" s="4" t="s">
        <v>2</v>
      </c>
      <c r="G3" s="6" t="s">
        <v>127</v>
      </c>
      <c r="H3" s="2"/>
      <c r="I3" s="2"/>
      <c r="J3" s="8" t="s">
        <v>15</v>
      </c>
      <c r="K3" s="9">
        <v>5</v>
      </c>
      <c r="L3" s="2"/>
      <c r="M3" s="11" t="s">
        <v>12</v>
      </c>
      <c r="N3" s="2" t="s">
        <v>24</v>
      </c>
    </row>
    <row r="4" spans="1:14" x14ac:dyDescent="0.35">
      <c r="A4" s="26" t="s">
        <v>99</v>
      </c>
      <c r="B4" s="27">
        <f ca="1">IFERROR(MATCH(K3,Unit_ID,0)+3,"")</f>
        <v>8</v>
      </c>
      <c r="C4" s="2">
        <v>1</v>
      </c>
      <c r="D4" s="10" t="s">
        <v>137</v>
      </c>
      <c r="E4" s="2"/>
      <c r="F4" s="2"/>
      <c r="G4" s="2"/>
      <c r="H4" s="2"/>
      <c r="I4" s="2"/>
      <c r="J4" s="2"/>
      <c r="K4" s="2"/>
      <c r="L4" s="2"/>
      <c r="M4" s="10"/>
      <c r="N4" s="2" t="s">
        <v>24</v>
      </c>
    </row>
    <row r="5" spans="1:14" x14ac:dyDescent="0.35">
      <c r="A5" s="26" t="s">
        <v>100</v>
      </c>
      <c r="B5" s="27">
        <f ca="1">IFERROR(MAX(Unit_ID)+1,1)</f>
        <v>7</v>
      </c>
      <c r="C5" s="2">
        <v>2</v>
      </c>
      <c r="D5" s="10" t="s">
        <v>141</v>
      </c>
      <c r="E5" s="2"/>
      <c r="F5" s="8" t="s">
        <v>16</v>
      </c>
      <c r="G5" s="7" t="s">
        <v>174</v>
      </c>
      <c r="H5" s="8" t="s">
        <v>17</v>
      </c>
      <c r="I5" s="7" t="s">
        <v>162</v>
      </c>
      <c r="J5" s="8" t="s">
        <v>18</v>
      </c>
      <c r="K5" s="7" t="s">
        <v>173</v>
      </c>
      <c r="L5" s="2"/>
      <c r="M5" s="10"/>
      <c r="N5" s="2" t="s">
        <v>24</v>
      </c>
    </row>
    <row r="6" spans="1:14" x14ac:dyDescent="0.35">
      <c r="C6" s="2">
        <v>3</v>
      </c>
      <c r="D6" s="10" t="s">
        <v>145</v>
      </c>
      <c r="E6" s="2"/>
      <c r="F6" s="2"/>
      <c r="G6" s="2"/>
      <c r="H6" s="2"/>
      <c r="I6" s="2"/>
      <c r="J6" s="2"/>
      <c r="K6" s="2"/>
      <c r="L6" s="2"/>
      <c r="M6" s="10"/>
      <c r="N6" s="2" t="s">
        <v>24</v>
      </c>
    </row>
    <row r="7" spans="1:14" x14ac:dyDescent="0.35">
      <c r="C7" s="2">
        <v>4</v>
      </c>
      <c r="D7" s="10" t="s">
        <v>169</v>
      </c>
      <c r="E7" s="2"/>
      <c r="F7" s="8" t="s">
        <v>19</v>
      </c>
      <c r="G7" s="66" t="s">
        <v>142</v>
      </c>
      <c r="H7" s="66"/>
      <c r="I7" s="66"/>
      <c r="J7" s="66"/>
      <c r="K7" s="66"/>
      <c r="L7" s="2"/>
      <c r="M7" s="10"/>
      <c r="N7" s="2" t="s">
        <v>24</v>
      </c>
    </row>
    <row r="8" spans="1:14" x14ac:dyDescent="0.35">
      <c r="C8" s="2">
        <v>5</v>
      </c>
      <c r="D8" s="10" t="s">
        <v>162</v>
      </c>
      <c r="E8" s="2"/>
      <c r="F8" s="2"/>
      <c r="G8" s="2"/>
      <c r="H8" s="2"/>
      <c r="I8" s="2"/>
      <c r="J8" s="2"/>
      <c r="K8" s="2"/>
      <c r="L8" s="2"/>
      <c r="M8" s="10"/>
      <c r="N8" s="2" t="s">
        <v>24</v>
      </c>
    </row>
    <row r="9" spans="1:14" x14ac:dyDescent="0.35">
      <c r="C9" s="2"/>
      <c r="D9" s="10"/>
      <c r="E9" s="2"/>
      <c r="F9" s="8" t="s">
        <v>20</v>
      </c>
      <c r="G9" s="62">
        <v>45170</v>
      </c>
      <c r="H9" s="8" t="s">
        <v>21</v>
      </c>
      <c r="I9" s="64">
        <v>254729373249</v>
      </c>
      <c r="J9" s="8" t="s">
        <v>22</v>
      </c>
      <c r="K9" s="44" t="s">
        <v>175</v>
      </c>
      <c r="L9" s="2"/>
      <c r="M9" s="10"/>
      <c r="N9" s="2" t="s">
        <v>24</v>
      </c>
    </row>
    <row r="10" spans="1:14" x14ac:dyDescent="0.35">
      <c r="C10" s="2"/>
      <c r="D10" s="10"/>
      <c r="E10" s="2"/>
      <c r="F10" s="2"/>
      <c r="G10" s="2"/>
      <c r="H10" s="2"/>
      <c r="I10" s="2"/>
      <c r="J10" s="2"/>
      <c r="K10" s="2"/>
      <c r="L10" s="2"/>
      <c r="M10" s="10"/>
      <c r="N10" s="2" t="s">
        <v>24</v>
      </c>
    </row>
    <row r="11" spans="1:14" x14ac:dyDescent="0.35">
      <c r="C11" s="2"/>
      <c r="D11" s="10"/>
      <c r="E11" s="2"/>
      <c r="F11" s="8" t="s">
        <v>23</v>
      </c>
      <c r="G11" s="62">
        <v>45901</v>
      </c>
      <c r="H11" s="8" t="s">
        <v>172</v>
      </c>
      <c r="I11" s="64">
        <v>5</v>
      </c>
      <c r="J11" s="8" t="s">
        <v>135</v>
      </c>
      <c r="K11" s="44"/>
      <c r="L11" s="2"/>
      <c r="M11" s="10"/>
      <c r="N11" s="2" t="s">
        <v>24</v>
      </c>
    </row>
    <row r="12" spans="1:14" x14ac:dyDescent="0.35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 t="s">
        <v>24</v>
      </c>
    </row>
    <row r="13" spans="1:14" ht="15.5" x14ac:dyDescent="0.35">
      <c r="C13" s="2"/>
      <c r="D13" s="2"/>
      <c r="E13" s="2"/>
      <c r="F13" s="2"/>
      <c r="G13" s="12"/>
      <c r="H13" s="2"/>
      <c r="I13" s="2"/>
      <c r="J13" s="2"/>
      <c r="K13" s="2"/>
      <c r="L13" s="2"/>
      <c r="M13" s="2"/>
      <c r="N13" s="2"/>
    </row>
    <row r="14" spans="1:14" x14ac:dyDescent="0.35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35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3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3:14" x14ac:dyDescent="0.35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3:14" x14ac:dyDescent="0.3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3:14" x14ac:dyDescent="0.3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3:14" x14ac:dyDescent="0.3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3:14" x14ac:dyDescent="0.3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3:14" x14ac:dyDescent="0.35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3:14" x14ac:dyDescent="0.35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3:14" x14ac:dyDescent="0.35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3:14" x14ac:dyDescent="0.35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3:14" x14ac:dyDescent="0.35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3:14" x14ac:dyDescent="0.35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3:14" x14ac:dyDescent="0.35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3:14" x14ac:dyDescent="0.35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3:14" x14ac:dyDescent="0.35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3:14" x14ac:dyDescent="0.35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3:14" x14ac:dyDescent="0.3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3:14" x14ac:dyDescent="0.35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3:14" x14ac:dyDescent="0.35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3:14" x14ac:dyDescent="0.35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</sheetData>
  <mergeCells count="1">
    <mergeCell ref="G7:K7"/>
  </mergeCells>
  <conditionalFormatting sqref="D4:D11">
    <cfRule type="expression" dxfId="2" priority="1">
      <formula>AND($I$5&lt;&gt;"",$D4=$I$5)</formula>
    </cfRule>
  </conditionalFormatting>
  <dataValidations count="1">
    <dataValidation type="list" allowBlank="1" showInputMessage="1" showErrorMessage="1" sqref="G3" xr:uid="{5724A042-428E-4513-AEFF-143EF0CC13C4}">
      <formula1>PROP_NAME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F44D8-FFF5-4D47-A483-99E914DBEEEA}">
  <sheetPr codeName="Sheet4"/>
  <dimension ref="A1:T35"/>
  <sheetViews>
    <sheetView topLeftCell="C1" zoomScaleNormal="100" workbookViewId="0">
      <selection activeCell="T12" sqref="T12"/>
    </sheetView>
  </sheetViews>
  <sheetFormatPr defaultRowHeight="14.5" x14ac:dyDescent="0.35"/>
  <cols>
    <col min="1" max="1" width="11.453125" style="3" hidden="1" customWidth="1"/>
    <col min="2" max="2" width="0" style="3" hidden="1" customWidth="1"/>
    <col min="3" max="3" width="15.7265625" customWidth="1"/>
    <col min="4" max="4" width="19.54296875" customWidth="1"/>
    <col min="5" max="5" width="7.08984375" customWidth="1"/>
    <col min="6" max="6" width="14.54296875" customWidth="1"/>
    <col min="7" max="7" width="13.54296875" customWidth="1"/>
    <col min="10" max="10" width="10.26953125" bestFit="1" customWidth="1"/>
    <col min="11" max="11" width="15.7265625" customWidth="1"/>
    <col min="13" max="13" width="13.54296875" customWidth="1"/>
    <col min="17" max="17" width="17" customWidth="1"/>
    <col min="18" max="19" width="13.26953125" customWidth="1"/>
    <col min="20" max="20" width="38.08984375" bestFit="1" customWidth="1"/>
  </cols>
  <sheetData>
    <row r="1" spans="1:20" ht="32" customHeight="1" x14ac:dyDescent="0.35">
      <c r="C1" s="1"/>
      <c r="D1" s="1"/>
      <c r="E1" s="67" t="s">
        <v>25</v>
      </c>
      <c r="F1" s="67"/>
      <c r="G1" s="67"/>
      <c r="H1" s="67"/>
      <c r="I1" s="67"/>
      <c r="J1" s="67"/>
      <c r="K1" s="67"/>
      <c r="L1" s="67"/>
      <c r="M1" s="67"/>
      <c r="N1" s="1"/>
      <c r="P1" t="s">
        <v>149</v>
      </c>
      <c r="Q1" t="s">
        <v>147</v>
      </c>
      <c r="R1" t="s">
        <v>148</v>
      </c>
      <c r="S1" t="s">
        <v>157</v>
      </c>
      <c r="T1" t="s">
        <v>150</v>
      </c>
    </row>
    <row r="2" spans="1:20" x14ac:dyDescent="0.35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t="s">
        <v>146</v>
      </c>
      <c r="Q2" t="s">
        <v>140</v>
      </c>
      <c r="R2" t="s">
        <v>145</v>
      </c>
      <c r="S2">
        <v>1000</v>
      </c>
      <c r="T2" t="s">
        <v>158</v>
      </c>
    </row>
    <row r="3" spans="1:20" x14ac:dyDescent="0.35">
      <c r="A3" s="48" t="s">
        <v>41</v>
      </c>
      <c r="B3" s="48" t="str">
        <f ca="1">IFERROR(INDEX(Prop_ID,MATCH(G3,PROP_NAME,0),1),"")</f>
        <v/>
      </c>
      <c r="C3" s="2"/>
      <c r="D3" s="11" t="s">
        <v>104</v>
      </c>
      <c r="E3" s="2"/>
      <c r="F3" s="4" t="s">
        <v>2</v>
      </c>
      <c r="G3" s="6" t="s">
        <v>112</v>
      </c>
      <c r="H3" s="2"/>
      <c r="I3" s="2"/>
      <c r="J3" s="8" t="s">
        <v>107</v>
      </c>
      <c r="K3" s="9">
        <v>3</v>
      </c>
      <c r="L3" s="2"/>
      <c r="M3" s="11" t="s">
        <v>12</v>
      </c>
      <c r="N3" s="2" t="s">
        <v>24</v>
      </c>
      <c r="P3" t="s">
        <v>146</v>
      </c>
      <c r="Q3" s="2" t="s">
        <v>152</v>
      </c>
      <c r="R3" s="2" t="s">
        <v>153</v>
      </c>
      <c r="S3" s="2">
        <v>2000</v>
      </c>
      <c r="T3" s="2" t="s">
        <v>154</v>
      </c>
    </row>
    <row r="4" spans="1:20" x14ac:dyDescent="0.35">
      <c r="A4" s="48" t="s">
        <v>15</v>
      </c>
      <c r="B4" s="48" t="str">
        <f ca="1">IFERROR(INDEX(Unit_ID,MATCH(I5,UnitNames,0),1),"")</f>
        <v/>
      </c>
      <c r="C4" s="2">
        <v>3</v>
      </c>
      <c r="D4" s="10" t="s">
        <v>115</v>
      </c>
      <c r="E4" s="2"/>
      <c r="F4" s="2"/>
      <c r="G4" s="2"/>
      <c r="H4" s="2"/>
      <c r="I4" s="2"/>
      <c r="J4" s="2"/>
      <c r="K4" s="2"/>
      <c r="L4" s="2"/>
      <c r="M4" s="10"/>
      <c r="N4" s="2" t="s">
        <v>24</v>
      </c>
      <c r="P4" t="s">
        <v>146</v>
      </c>
      <c r="Q4" t="s">
        <v>155</v>
      </c>
      <c r="R4" t="s">
        <v>156</v>
      </c>
      <c r="S4">
        <v>5000</v>
      </c>
      <c r="T4" t="s">
        <v>151</v>
      </c>
    </row>
    <row r="5" spans="1:20" x14ac:dyDescent="0.35">
      <c r="A5" s="48" t="s">
        <v>108</v>
      </c>
      <c r="B5" s="48">
        <f ca="1">IFERROR(MATCH(K3,Trans_ID,0)+3,"")</f>
        <v>5</v>
      </c>
      <c r="C5" s="2">
        <v>1</v>
      </c>
      <c r="D5" s="10" t="s">
        <v>110</v>
      </c>
      <c r="E5" s="2"/>
      <c r="F5" s="8" t="s">
        <v>105</v>
      </c>
      <c r="G5" s="7" t="s">
        <v>115</v>
      </c>
      <c r="H5" s="8" t="s">
        <v>17</v>
      </c>
      <c r="I5" s="7" t="s">
        <v>111</v>
      </c>
      <c r="J5" s="8" t="s">
        <v>26</v>
      </c>
      <c r="K5" s="13">
        <v>44200</v>
      </c>
      <c r="L5" s="2"/>
      <c r="M5" s="10"/>
      <c r="N5" s="2" t="s">
        <v>24</v>
      </c>
      <c r="P5" t="s">
        <v>164</v>
      </c>
      <c r="Q5" t="s">
        <v>159</v>
      </c>
      <c r="R5" t="s">
        <v>162</v>
      </c>
      <c r="S5">
        <v>3400</v>
      </c>
      <c r="T5" t="s">
        <v>151</v>
      </c>
    </row>
    <row r="6" spans="1:20" x14ac:dyDescent="0.35">
      <c r="A6" s="48" t="s">
        <v>109</v>
      </c>
      <c r="B6" s="48">
        <f ca="1">IFERROR(MAX(Trans_ID)+1,1)</f>
        <v>4</v>
      </c>
      <c r="C6" s="2"/>
      <c r="D6" s="10"/>
      <c r="E6" s="2"/>
      <c r="F6" s="2"/>
      <c r="G6" s="2"/>
      <c r="H6" s="2"/>
      <c r="I6" s="2"/>
      <c r="J6" s="2"/>
      <c r="K6" s="2"/>
      <c r="L6" s="2"/>
      <c r="M6" s="10"/>
      <c r="N6" s="2" t="s">
        <v>24</v>
      </c>
      <c r="P6" t="s">
        <v>163</v>
      </c>
      <c r="Q6" t="s">
        <v>160</v>
      </c>
      <c r="R6" t="s">
        <v>161</v>
      </c>
      <c r="S6">
        <v>1450</v>
      </c>
      <c r="T6" t="s">
        <v>151</v>
      </c>
    </row>
    <row r="7" spans="1:20" x14ac:dyDescent="0.35">
      <c r="C7" s="2"/>
      <c r="D7" s="10"/>
      <c r="E7" s="2"/>
      <c r="F7" s="8" t="s">
        <v>106</v>
      </c>
      <c r="G7" s="66"/>
      <c r="H7" s="66"/>
      <c r="I7" s="66"/>
      <c r="J7" s="66"/>
      <c r="K7" s="66"/>
      <c r="L7" s="2"/>
      <c r="M7" s="10"/>
      <c r="N7" s="2" t="s">
        <v>24</v>
      </c>
    </row>
    <row r="8" spans="1:20" x14ac:dyDescent="0.35">
      <c r="C8" s="2"/>
      <c r="D8" s="10"/>
      <c r="E8" s="2"/>
      <c r="F8" s="2"/>
      <c r="G8" s="2"/>
      <c r="H8" s="2"/>
      <c r="I8" s="2"/>
      <c r="J8" s="2"/>
      <c r="K8" s="2"/>
      <c r="L8" s="2"/>
      <c r="M8" s="10"/>
      <c r="N8" s="2" t="s">
        <v>24</v>
      </c>
    </row>
    <row r="9" spans="1:20" x14ac:dyDescent="0.35">
      <c r="C9" s="2"/>
      <c r="D9" s="10"/>
      <c r="E9" s="2"/>
      <c r="F9" s="8" t="s">
        <v>27</v>
      </c>
      <c r="G9" s="13" t="s">
        <v>116</v>
      </c>
      <c r="H9" s="8" t="s">
        <v>4</v>
      </c>
      <c r="I9" s="7" t="s">
        <v>113</v>
      </c>
      <c r="J9" s="8" t="s">
        <v>28</v>
      </c>
      <c r="K9" s="14">
        <v>450</v>
      </c>
      <c r="L9" s="2"/>
      <c r="M9" s="10"/>
      <c r="N9" s="2" t="s">
        <v>24</v>
      </c>
    </row>
    <row r="10" spans="1:20" x14ac:dyDescent="0.35">
      <c r="C10" s="2"/>
      <c r="D10" s="10"/>
      <c r="E10" s="2"/>
      <c r="F10" s="2"/>
      <c r="G10" s="2"/>
      <c r="H10" s="2"/>
      <c r="I10" s="2"/>
      <c r="J10" s="2"/>
      <c r="K10" s="2"/>
      <c r="L10" s="2"/>
      <c r="M10" s="10"/>
      <c r="N10" s="2" t="s">
        <v>24</v>
      </c>
    </row>
    <row r="11" spans="1:20" x14ac:dyDescent="0.35">
      <c r="C11" s="2"/>
      <c r="D11" s="10"/>
      <c r="E11" s="2"/>
      <c r="F11" s="2"/>
      <c r="G11" s="2"/>
      <c r="H11" s="2"/>
      <c r="I11" s="2"/>
      <c r="J11" s="2"/>
      <c r="K11" s="2"/>
      <c r="L11" s="2"/>
      <c r="M11" s="10"/>
      <c r="N11" s="2" t="s">
        <v>24</v>
      </c>
    </row>
    <row r="12" spans="1:20" x14ac:dyDescent="0.35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20" ht="15.5" x14ac:dyDescent="0.35">
      <c r="C13" s="2"/>
      <c r="D13" s="2"/>
      <c r="E13" s="2" t="s">
        <v>24</v>
      </c>
      <c r="F13" s="2"/>
      <c r="G13" s="12"/>
      <c r="H13" s="2"/>
      <c r="I13" s="2"/>
      <c r="J13" s="2"/>
      <c r="K13" s="2"/>
      <c r="L13" s="2"/>
      <c r="M13" s="2"/>
      <c r="N13" s="2"/>
    </row>
    <row r="14" spans="1:20" x14ac:dyDescent="0.35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20" x14ac:dyDescent="0.35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20" x14ac:dyDescent="0.3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3:14" x14ac:dyDescent="0.35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3:14" x14ac:dyDescent="0.3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3:14" x14ac:dyDescent="0.3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3:14" x14ac:dyDescent="0.3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3:14" x14ac:dyDescent="0.3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3:14" x14ac:dyDescent="0.35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3:14" x14ac:dyDescent="0.35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3:14" x14ac:dyDescent="0.35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3:14" x14ac:dyDescent="0.35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3:14" x14ac:dyDescent="0.35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3:14" x14ac:dyDescent="0.35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3:14" x14ac:dyDescent="0.35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3:14" x14ac:dyDescent="0.35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3:14" x14ac:dyDescent="0.35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3:14" x14ac:dyDescent="0.35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3:14" x14ac:dyDescent="0.3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3:14" x14ac:dyDescent="0.35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3:14" x14ac:dyDescent="0.35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3:14" x14ac:dyDescent="0.35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</sheetData>
  <mergeCells count="2">
    <mergeCell ref="E1:M1"/>
    <mergeCell ref="G7:K7"/>
  </mergeCells>
  <conditionalFormatting sqref="D4:D16">
    <cfRule type="expression" dxfId="1" priority="1">
      <formula>AND($G$5&lt;&gt;"",$D4=$G$5)</formula>
    </cfRule>
  </conditionalFormatting>
  <dataValidations count="3">
    <dataValidation type="list" allowBlank="1" showInputMessage="1" showErrorMessage="1" sqref="I9" xr:uid="{3DCDC76D-17A2-451F-BCCD-E55B6EE08E5C}">
      <formula1>"Income,Expense"</formula1>
    </dataValidation>
    <dataValidation type="list" allowBlank="1" showInputMessage="1" showErrorMessage="1" sqref="G3" xr:uid="{BC5BEB33-B9BD-4B5E-84CB-94241235728E}">
      <formula1>PROP_NAME</formula1>
    </dataValidation>
    <dataValidation type="list" allowBlank="1" showInputMessage="1" showErrorMessage="1" sqref="I5" xr:uid="{BF94822A-7F8F-404E-B448-C30C40118531}">
      <formula1>UnitNames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26250-742E-413A-B999-80BF563A74D1}">
  <sheetPr codeName="Sheet5"/>
  <dimension ref="A1:M13"/>
  <sheetViews>
    <sheetView topLeftCell="C1" workbookViewId="0">
      <selection activeCell="D4" sqref="D4"/>
    </sheetView>
  </sheetViews>
  <sheetFormatPr defaultRowHeight="14.5" x14ac:dyDescent="0.35"/>
  <cols>
    <col min="1" max="1" width="11.90625" style="50" hidden="1" customWidth="1"/>
    <col min="2" max="2" width="0" style="50" hidden="1" customWidth="1"/>
    <col min="3" max="3" width="15.7265625" style="50" customWidth="1"/>
    <col min="4" max="4" width="12.81640625" style="50" customWidth="1"/>
    <col min="5" max="5" width="7.08984375" style="50" customWidth="1"/>
    <col min="6" max="6" width="14.54296875" style="50" customWidth="1"/>
    <col min="7" max="7" width="13.54296875" style="50" customWidth="1"/>
    <col min="8" max="8" width="8.7265625" style="50"/>
    <col min="9" max="9" width="9.453125" style="50" bestFit="1" customWidth="1"/>
    <col min="10" max="10" width="10.26953125" style="50" bestFit="1" customWidth="1"/>
    <col min="11" max="11" width="15.7265625" style="50" customWidth="1"/>
    <col min="12" max="16384" width="8.7265625" style="50"/>
  </cols>
  <sheetData>
    <row r="1" spans="1:13" ht="32" customHeight="1" x14ac:dyDescent="0.35">
      <c r="C1" s="51"/>
      <c r="D1" s="51"/>
      <c r="E1" s="68" t="s">
        <v>29</v>
      </c>
      <c r="F1" s="68"/>
      <c r="G1" s="68"/>
      <c r="H1" s="68"/>
      <c r="I1" s="68"/>
      <c r="J1" s="68"/>
      <c r="K1" s="68"/>
      <c r="L1" s="68"/>
      <c r="M1" s="51"/>
    </row>
    <row r="2" spans="1:13" ht="15" thickBot="1" x14ac:dyDescent="0.4"/>
    <row r="3" spans="1:13" ht="15.5" thickTop="1" thickBot="1" x14ac:dyDescent="0.4">
      <c r="D3" s="54" t="s">
        <v>122</v>
      </c>
      <c r="J3" s="56" t="s">
        <v>81</v>
      </c>
      <c r="K3" s="60">
        <v>1</v>
      </c>
    </row>
    <row r="4" spans="1:13" ht="15.5" thickTop="1" thickBot="1" x14ac:dyDescent="0.4">
      <c r="A4" s="52" t="s">
        <v>117</v>
      </c>
      <c r="B4" s="52">
        <f ca="1">IFERROR(MATCH(K3,Alert_ID,0)+3,"")</f>
        <v>4</v>
      </c>
      <c r="C4" s="50">
        <v>1</v>
      </c>
      <c r="D4" s="10" t="s">
        <v>120</v>
      </c>
    </row>
    <row r="5" spans="1:13" ht="15.5" thickTop="1" thickBot="1" x14ac:dyDescent="0.4">
      <c r="A5" s="52" t="s">
        <v>118</v>
      </c>
      <c r="B5" s="52">
        <f ca="1">IFERROR(MAX(Alert_ID)+1,1)</f>
        <v>2</v>
      </c>
      <c r="D5" s="55"/>
      <c r="F5" s="56" t="s">
        <v>30</v>
      </c>
      <c r="G5" s="57" t="s">
        <v>120</v>
      </c>
      <c r="H5" s="56" t="s">
        <v>26</v>
      </c>
      <c r="I5" s="58">
        <v>44227</v>
      </c>
      <c r="J5" s="56" t="s">
        <v>31</v>
      </c>
      <c r="K5" s="59">
        <v>0.70833333333333337</v>
      </c>
    </row>
    <row r="6" spans="1:13" ht="15.5" thickTop="1" thickBot="1" x14ac:dyDescent="0.4">
      <c r="D6" s="55"/>
    </row>
    <row r="7" spans="1:13" ht="15.5" thickTop="1" thickBot="1" x14ac:dyDescent="0.4">
      <c r="D7" s="55"/>
      <c r="F7" s="56" t="s">
        <v>32</v>
      </c>
      <c r="G7" s="69" t="s">
        <v>120</v>
      </c>
      <c r="H7" s="69"/>
      <c r="I7" s="69"/>
      <c r="J7" s="69"/>
      <c r="K7" s="69"/>
    </row>
    <row r="8" spans="1:13" ht="15.5" thickTop="1" thickBot="1" x14ac:dyDescent="0.4">
      <c r="D8" s="55"/>
    </row>
    <row r="9" spans="1:13" ht="15.5" thickTop="1" thickBot="1" x14ac:dyDescent="0.4">
      <c r="D9" s="55"/>
    </row>
    <row r="10" spans="1:13" ht="15.5" thickTop="1" thickBot="1" x14ac:dyDescent="0.4">
      <c r="D10" s="55"/>
    </row>
    <row r="11" spans="1:13" ht="15.5" thickTop="1" thickBot="1" x14ac:dyDescent="0.4">
      <c r="D11" s="55"/>
    </row>
    <row r="12" spans="1:13" ht="15" thickTop="1" x14ac:dyDescent="0.35"/>
    <row r="13" spans="1:13" ht="15.5" x14ac:dyDescent="0.35">
      <c r="E13" s="50" t="s">
        <v>24</v>
      </c>
      <c r="G13" s="53"/>
    </row>
  </sheetData>
  <mergeCells count="2">
    <mergeCell ref="E1:L1"/>
    <mergeCell ref="G7:K7"/>
  </mergeCells>
  <conditionalFormatting sqref="D4:D11">
    <cfRule type="expression" dxfId="0" priority="1">
      <formula>AND($G$5&lt;&gt;"",$D4=$G$5)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79D93-C4C5-4B7B-B41C-02DF934E54D5}">
  <sheetPr codeName="Sheet6"/>
  <dimension ref="A1:N35"/>
  <sheetViews>
    <sheetView workbookViewId="0">
      <selection activeCell="G9" sqref="G9"/>
    </sheetView>
  </sheetViews>
  <sheetFormatPr defaultRowHeight="14.5" x14ac:dyDescent="0.35"/>
  <cols>
    <col min="1" max="2" width="8.7265625" style="3"/>
    <col min="3" max="3" width="15.7265625" customWidth="1"/>
    <col min="4" max="4" width="28.453125" bestFit="1" customWidth="1"/>
    <col min="14" max="14" width="29.1796875" customWidth="1"/>
  </cols>
  <sheetData>
    <row r="1" spans="3:14" ht="34.5" customHeight="1" x14ac:dyDescent="0.35">
      <c r="C1" s="1"/>
      <c r="D1" s="1"/>
      <c r="E1" s="67" t="s">
        <v>33</v>
      </c>
      <c r="F1" s="67"/>
      <c r="G1" s="67"/>
      <c r="H1" s="67"/>
      <c r="I1" s="67"/>
      <c r="J1" s="67"/>
      <c r="K1" s="67"/>
      <c r="L1" s="67"/>
      <c r="M1" s="1"/>
      <c r="N1" s="1"/>
    </row>
    <row r="2" spans="3:14" x14ac:dyDescent="0.35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3:14" ht="15" thickBot="1" x14ac:dyDescent="0.4">
      <c r="C3" s="2"/>
      <c r="D3" s="16" t="s">
        <v>34</v>
      </c>
      <c r="E3" s="8" t="s">
        <v>38</v>
      </c>
      <c r="F3" s="13"/>
      <c r="G3" s="8" t="s">
        <v>39</v>
      </c>
      <c r="H3" s="13"/>
      <c r="I3" s="17"/>
      <c r="J3" s="17"/>
      <c r="K3" s="17"/>
      <c r="L3" s="17"/>
      <c r="M3" s="17"/>
      <c r="N3" s="18"/>
    </row>
    <row r="4" spans="3:14" ht="15" thickTop="1" x14ac:dyDescent="0.35">
      <c r="C4" s="2"/>
      <c r="D4" s="15" t="s">
        <v>35</v>
      </c>
      <c r="E4" s="5"/>
      <c r="F4" s="5"/>
      <c r="G4" s="5"/>
      <c r="H4" s="5"/>
      <c r="I4" s="5"/>
      <c r="J4" s="5"/>
      <c r="K4" s="5"/>
      <c r="L4" s="5"/>
      <c r="M4" s="5"/>
      <c r="N4" s="5"/>
    </row>
    <row r="5" spans="3:14" x14ac:dyDescent="0.35">
      <c r="C5" s="2"/>
      <c r="D5" s="15" t="s">
        <v>36</v>
      </c>
      <c r="E5" s="5"/>
      <c r="F5" s="5"/>
      <c r="G5" s="7"/>
      <c r="H5" s="5"/>
      <c r="I5" s="5"/>
      <c r="J5" s="5"/>
      <c r="K5" s="5"/>
      <c r="L5" s="5"/>
      <c r="M5" s="5"/>
      <c r="N5" s="5"/>
    </row>
    <row r="6" spans="3:14" x14ac:dyDescent="0.35">
      <c r="C6" s="2"/>
      <c r="D6" s="15" t="s">
        <v>37</v>
      </c>
      <c r="E6" s="5"/>
      <c r="F6" s="5"/>
      <c r="G6" s="5"/>
      <c r="H6" s="5"/>
      <c r="I6" s="5"/>
      <c r="J6" s="5"/>
      <c r="K6" s="5"/>
      <c r="L6" s="5"/>
      <c r="M6" s="5"/>
      <c r="N6" s="5"/>
    </row>
    <row r="7" spans="3:14" x14ac:dyDescent="0.35">
      <c r="C7" s="2"/>
      <c r="D7" s="15"/>
      <c r="E7" s="5"/>
      <c r="F7" s="5"/>
      <c r="G7" s="5"/>
      <c r="H7" s="5"/>
      <c r="I7" s="5"/>
      <c r="J7" s="5"/>
      <c r="K7" s="5"/>
      <c r="L7" s="5"/>
      <c r="M7" s="5"/>
      <c r="N7" s="5"/>
    </row>
    <row r="8" spans="3:14" x14ac:dyDescent="0.35">
      <c r="C8" s="2"/>
      <c r="D8" s="15"/>
      <c r="E8" s="5"/>
      <c r="F8" s="5"/>
      <c r="G8" s="5"/>
      <c r="H8" s="5"/>
      <c r="I8" s="5"/>
      <c r="J8" s="5"/>
      <c r="K8" s="5"/>
      <c r="L8" s="5"/>
      <c r="M8" s="5"/>
      <c r="N8" s="5"/>
    </row>
    <row r="9" spans="3:14" x14ac:dyDescent="0.35">
      <c r="C9" s="2"/>
      <c r="D9" s="15"/>
      <c r="E9" s="5"/>
      <c r="F9" s="5"/>
      <c r="G9" s="5"/>
      <c r="H9" s="5"/>
      <c r="I9" s="5"/>
      <c r="J9" s="5"/>
      <c r="K9" s="5"/>
      <c r="L9" s="5"/>
      <c r="M9" s="5"/>
      <c r="N9" s="5"/>
    </row>
    <row r="10" spans="3:14" x14ac:dyDescent="0.35">
      <c r="C10" s="2"/>
      <c r="D10" s="1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3:14" x14ac:dyDescent="0.35">
      <c r="C11" s="2"/>
      <c r="D11" s="1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3:14" x14ac:dyDescent="0.35">
      <c r="C12" s="2"/>
      <c r="D12" s="1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3:14" x14ac:dyDescent="0.35">
      <c r="C13" s="2"/>
      <c r="D13" s="1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3:14" x14ac:dyDescent="0.35">
      <c r="C14" s="2"/>
      <c r="D14" s="1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3:14" x14ac:dyDescent="0.35">
      <c r="C15" s="2"/>
      <c r="D15" s="1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3:14" x14ac:dyDescent="0.35">
      <c r="C16" s="2"/>
      <c r="D16" s="1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3:14" x14ac:dyDescent="0.35">
      <c r="C17" s="2"/>
      <c r="D17" s="1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3:14" x14ac:dyDescent="0.35">
      <c r="C18" s="2"/>
      <c r="D18" s="1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3:14" x14ac:dyDescent="0.35">
      <c r="C19" s="2"/>
      <c r="D19" s="1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3:14" x14ac:dyDescent="0.35">
      <c r="C20" s="2"/>
      <c r="D20" s="1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3:14" x14ac:dyDescent="0.35">
      <c r="C21" s="2"/>
      <c r="D21" s="1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3:14" x14ac:dyDescent="0.35">
      <c r="C22" s="2"/>
      <c r="D22" s="1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3:14" x14ac:dyDescent="0.35">
      <c r="C23" s="2"/>
      <c r="D23" s="2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3:14" x14ac:dyDescent="0.35">
      <c r="C24" s="2"/>
      <c r="D24" s="2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3:14" x14ac:dyDescent="0.35">
      <c r="C25" s="2"/>
      <c r="D25" s="2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3:14" x14ac:dyDescent="0.35">
      <c r="C26" s="2"/>
      <c r="D26" s="2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3:14" x14ac:dyDescent="0.35">
      <c r="C27" s="2"/>
      <c r="D27" s="2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3:14" x14ac:dyDescent="0.35">
      <c r="C28" s="2"/>
      <c r="D28" s="2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3:14" x14ac:dyDescent="0.35">
      <c r="C29" s="2"/>
      <c r="D29" s="2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3:14" x14ac:dyDescent="0.35">
      <c r="C30" s="2"/>
      <c r="D30" s="2"/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3:14" x14ac:dyDescent="0.35">
      <c r="C31" s="2"/>
      <c r="D31" s="2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3:14" x14ac:dyDescent="0.35">
      <c r="C32" s="2"/>
      <c r="D32" s="2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3:14" x14ac:dyDescent="0.35">
      <c r="C33" s="2"/>
      <c r="D33" s="2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3:14" x14ac:dyDescent="0.35">
      <c r="C34" s="2"/>
      <c r="D34" s="2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3:14" x14ac:dyDescent="0.35">
      <c r="C35" s="2"/>
      <c r="D35" s="2"/>
      <c r="E35" s="5"/>
      <c r="F35" s="5"/>
      <c r="G35" s="5"/>
      <c r="H35" s="5"/>
      <c r="I35" s="5"/>
      <c r="J35" s="5"/>
      <c r="K35" s="5"/>
      <c r="L35" s="5"/>
      <c r="M35" s="5"/>
      <c r="N35" s="5"/>
    </row>
  </sheetData>
  <mergeCells count="1">
    <mergeCell ref="E1:L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74F2D-B717-41DD-B9DC-756288E63051}">
  <sheetPr codeName="Sheet7"/>
  <dimension ref="A1:K8"/>
  <sheetViews>
    <sheetView workbookViewId="0">
      <selection activeCell="J4" sqref="J4"/>
    </sheetView>
  </sheetViews>
  <sheetFormatPr defaultRowHeight="14.5" x14ac:dyDescent="0.35"/>
  <cols>
    <col min="1" max="1" width="18.08984375" style="19" bestFit="1" customWidth="1"/>
    <col min="2" max="2" width="14" bestFit="1" customWidth="1"/>
    <col min="3" max="3" width="9.90625" bestFit="1" customWidth="1"/>
    <col min="4" max="4" width="9.453125" bestFit="1" customWidth="1"/>
    <col min="5" max="5" width="15.36328125" bestFit="1" customWidth="1"/>
    <col min="6" max="6" width="12.08984375" bestFit="1" customWidth="1"/>
    <col min="7" max="7" width="10.08984375" bestFit="1" customWidth="1"/>
    <col min="8" max="8" width="23.6328125" bestFit="1" customWidth="1"/>
    <col min="9" max="9" width="11.7265625" bestFit="1" customWidth="1"/>
    <col min="10" max="10" width="10" bestFit="1" customWidth="1"/>
    <col min="11" max="11" width="23.6328125" bestFit="1" customWidth="1"/>
  </cols>
  <sheetData>
    <row r="1" spans="1:11" x14ac:dyDescent="0.35">
      <c r="A1" s="24" t="s">
        <v>50</v>
      </c>
      <c r="B1" s="20" t="s">
        <v>51</v>
      </c>
      <c r="C1" s="20" t="s">
        <v>52</v>
      </c>
      <c r="D1" s="20" t="s">
        <v>53</v>
      </c>
      <c r="E1" s="20" t="s">
        <v>54</v>
      </c>
      <c r="F1" s="20" t="s">
        <v>55</v>
      </c>
      <c r="G1" s="20" t="s">
        <v>56</v>
      </c>
      <c r="H1" s="20" t="s">
        <v>57</v>
      </c>
      <c r="I1" s="20" t="s">
        <v>58</v>
      </c>
      <c r="J1" s="20" t="s">
        <v>59</v>
      </c>
      <c r="K1" s="20" t="s">
        <v>60</v>
      </c>
    </row>
    <row r="2" spans="1:11" x14ac:dyDescent="0.35">
      <c r="A2" s="23" t="s">
        <v>40</v>
      </c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1:11" x14ac:dyDescent="0.35">
      <c r="A3" s="25" t="s">
        <v>41</v>
      </c>
      <c r="B3" s="22" t="s">
        <v>42</v>
      </c>
      <c r="C3" s="22" t="s">
        <v>4</v>
      </c>
      <c r="D3" s="22" t="s">
        <v>43</v>
      </c>
      <c r="E3" s="22" t="s">
        <v>6</v>
      </c>
      <c r="F3" s="22" t="s">
        <v>44</v>
      </c>
      <c r="G3" s="22" t="s">
        <v>46</v>
      </c>
      <c r="H3" s="22" t="s">
        <v>47</v>
      </c>
      <c r="I3" s="22" t="s">
        <v>45</v>
      </c>
      <c r="J3" s="22" t="s">
        <v>48</v>
      </c>
      <c r="K3" s="22" t="s">
        <v>49</v>
      </c>
    </row>
    <row r="4" spans="1:11" x14ac:dyDescent="0.35">
      <c r="A4" s="19">
        <v>1</v>
      </c>
      <c r="B4" t="s">
        <v>131</v>
      </c>
      <c r="C4" t="s">
        <v>123</v>
      </c>
      <c r="D4" s="45">
        <v>45146</v>
      </c>
      <c r="E4" t="s">
        <v>133</v>
      </c>
      <c r="F4" t="s">
        <v>124</v>
      </c>
      <c r="G4">
        <v>254725909264</v>
      </c>
      <c r="H4" t="s">
        <v>125</v>
      </c>
      <c r="I4" t="s">
        <v>126</v>
      </c>
      <c r="J4">
        <v>245713557878</v>
      </c>
    </row>
    <row r="5" spans="1:11" x14ac:dyDescent="0.35">
      <c r="A5" s="19">
        <v>2</v>
      </c>
      <c r="B5" t="s">
        <v>127</v>
      </c>
      <c r="C5" t="s">
        <v>123</v>
      </c>
      <c r="D5" s="45">
        <v>45146</v>
      </c>
      <c r="E5" t="s">
        <v>128</v>
      </c>
      <c r="F5" t="s">
        <v>124</v>
      </c>
      <c r="G5">
        <v>254725909264</v>
      </c>
      <c r="H5" t="s">
        <v>125</v>
      </c>
      <c r="I5" t="s">
        <v>126</v>
      </c>
      <c r="J5">
        <v>254713557878</v>
      </c>
    </row>
    <row r="6" spans="1:11" x14ac:dyDescent="0.35">
      <c r="A6" s="19">
        <v>3</v>
      </c>
      <c r="B6" t="s">
        <v>129</v>
      </c>
      <c r="C6" t="s">
        <v>93</v>
      </c>
      <c r="D6" s="45">
        <v>45146</v>
      </c>
      <c r="E6" t="s">
        <v>130</v>
      </c>
      <c r="F6" t="s">
        <v>124</v>
      </c>
      <c r="G6">
        <v>254725909264</v>
      </c>
      <c r="H6" t="s">
        <v>125</v>
      </c>
      <c r="I6" t="s">
        <v>126</v>
      </c>
      <c r="J6">
        <v>254713557878</v>
      </c>
    </row>
    <row r="7" spans="1:11" x14ac:dyDescent="0.35">
      <c r="A7" s="19">
        <v>4</v>
      </c>
      <c r="B7" t="s">
        <v>132</v>
      </c>
      <c r="C7" t="s">
        <v>123</v>
      </c>
      <c r="D7" s="45">
        <v>45146</v>
      </c>
      <c r="E7" t="s">
        <v>130</v>
      </c>
      <c r="F7" t="s">
        <v>124</v>
      </c>
      <c r="G7">
        <v>254725909264</v>
      </c>
      <c r="H7" t="s">
        <v>125</v>
      </c>
      <c r="I7" t="s">
        <v>126</v>
      </c>
      <c r="J7">
        <v>254713557878</v>
      </c>
    </row>
    <row r="8" spans="1:11" x14ac:dyDescent="0.35">
      <c r="A8" s="19">
        <v>5</v>
      </c>
      <c r="B8" t="s">
        <v>178</v>
      </c>
      <c r="C8" t="s">
        <v>179</v>
      </c>
      <c r="D8" s="45">
        <v>45170</v>
      </c>
      <c r="E8" t="s">
        <v>180</v>
      </c>
      <c r="F8" t="s">
        <v>181</v>
      </c>
      <c r="G8">
        <v>254725909264</v>
      </c>
      <c r="H8" t="s">
        <v>182</v>
      </c>
      <c r="I8" t="s">
        <v>143</v>
      </c>
      <c r="J8">
        <v>254713557878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78C5-8F7C-45E6-A95C-DEA3A73E9F31}">
  <sheetPr codeName="Sheet8"/>
  <dimension ref="A1:R9"/>
  <sheetViews>
    <sheetView zoomScaleNormal="100" workbookViewId="0">
      <selection activeCell="J12" sqref="J12"/>
    </sheetView>
  </sheetViews>
  <sheetFormatPr defaultRowHeight="14.5" x14ac:dyDescent="0.35"/>
  <cols>
    <col min="3" max="3" width="12" bestFit="1" customWidth="1"/>
    <col min="4" max="4" width="12" customWidth="1"/>
  </cols>
  <sheetData>
    <row r="1" spans="1:18" x14ac:dyDescent="0.35">
      <c r="A1" s="28" t="s">
        <v>65</v>
      </c>
      <c r="B1" s="28" t="s">
        <v>66</v>
      </c>
      <c r="C1" s="28" t="s">
        <v>52</v>
      </c>
      <c r="D1" s="28" t="s">
        <v>102</v>
      </c>
      <c r="E1" s="28" t="s">
        <v>67</v>
      </c>
      <c r="F1" s="28" t="s">
        <v>68</v>
      </c>
      <c r="G1" s="28" t="s">
        <v>56</v>
      </c>
      <c r="H1" s="28" t="s">
        <v>57</v>
      </c>
      <c r="I1" s="28" t="s">
        <v>69</v>
      </c>
      <c r="J1" s="28" t="s">
        <v>59</v>
      </c>
      <c r="K1" s="28" t="s">
        <v>60</v>
      </c>
      <c r="L1" s="28" t="s">
        <v>70</v>
      </c>
      <c r="O1" s="47" t="s">
        <v>94</v>
      </c>
      <c r="Q1" s="70" t="s">
        <v>103</v>
      </c>
      <c r="R1" s="70"/>
    </row>
    <row r="2" spans="1:18" x14ac:dyDescent="0.35">
      <c r="A2" s="29" t="s">
        <v>64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O2" s="30" t="s">
        <v>41</v>
      </c>
      <c r="Q2" s="30" t="s">
        <v>15</v>
      </c>
      <c r="R2" s="30" t="s">
        <v>74</v>
      </c>
    </row>
    <row r="3" spans="1:18" x14ac:dyDescent="0.35">
      <c r="A3" s="30" t="s">
        <v>15</v>
      </c>
      <c r="B3" s="30" t="s">
        <v>41</v>
      </c>
      <c r="C3" s="30" t="s">
        <v>61</v>
      </c>
      <c r="D3" s="30" t="s">
        <v>74</v>
      </c>
      <c r="E3" s="30" t="s">
        <v>18</v>
      </c>
      <c r="F3" s="30" t="s">
        <v>62</v>
      </c>
      <c r="G3" s="30" t="s">
        <v>63</v>
      </c>
      <c r="H3" s="30" t="s">
        <v>21</v>
      </c>
      <c r="I3" s="30" t="s">
        <v>22</v>
      </c>
      <c r="J3" s="30" t="s">
        <v>23</v>
      </c>
      <c r="K3" s="30" t="s">
        <v>172</v>
      </c>
      <c r="L3" s="30" t="s">
        <v>134</v>
      </c>
      <c r="O3">
        <v>2</v>
      </c>
      <c r="Q3">
        <v>1</v>
      </c>
      <c r="R3" t="s">
        <v>137</v>
      </c>
    </row>
    <row r="4" spans="1:18" x14ac:dyDescent="0.35">
      <c r="A4">
        <v>1</v>
      </c>
      <c r="B4">
        <v>2</v>
      </c>
      <c r="C4" t="s">
        <v>136</v>
      </c>
      <c r="D4" t="s">
        <v>137</v>
      </c>
      <c r="E4" t="s">
        <v>166</v>
      </c>
      <c r="F4" t="s">
        <v>138</v>
      </c>
      <c r="G4" s="45">
        <v>45170</v>
      </c>
      <c r="H4">
        <v>254708818602</v>
      </c>
      <c r="I4" t="s">
        <v>139</v>
      </c>
      <c r="J4" s="45">
        <v>45901</v>
      </c>
      <c r="K4">
        <v>14</v>
      </c>
      <c r="Q4">
        <v>2</v>
      </c>
      <c r="R4" t="s">
        <v>141</v>
      </c>
    </row>
    <row r="5" spans="1:18" x14ac:dyDescent="0.35">
      <c r="A5">
        <v>2</v>
      </c>
      <c r="B5">
        <v>2</v>
      </c>
      <c r="C5" t="s">
        <v>143</v>
      </c>
      <c r="D5" t="s">
        <v>141</v>
      </c>
      <c r="E5" t="s">
        <v>167</v>
      </c>
      <c r="F5" t="s">
        <v>144</v>
      </c>
      <c r="G5" s="45">
        <v>45170</v>
      </c>
      <c r="H5">
        <v>254713557878</v>
      </c>
      <c r="J5" s="45">
        <v>45901</v>
      </c>
      <c r="K5">
        <v>5</v>
      </c>
      <c r="Q5">
        <v>3</v>
      </c>
      <c r="R5" t="s">
        <v>145</v>
      </c>
    </row>
    <row r="6" spans="1:18" x14ac:dyDescent="0.35">
      <c r="A6">
        <v>3</v>
      </c>
      <c r="B6">
        <v>2</v>
      </c>
      <c r="C6" t="s">
        <v>140</v>
      </c>
      <c r="D6" t="s">
        <v>145</v>
      </c>
      <c r="E6" t="s">
        <v>168</v>
      </c>
      <c r="F6" t="s">
        <v>165</v>
      </c>
      <c r="G6" s="45">
        <v>45170</v>
      </c>
      <c r="H6">
        <v>254732467998</v>
      </c>
      <c r="J6" s="45">
        <v>45901</v>
      </c>
      <c r="K6">
        <v>5</v>
      </c>
      <c r="Q6">
        <v>4</v>
      </c>
      <c r="R6" t="s">
        <v>169</v>
      </c>
    </row>
    <row r="7" spans="1:18" x14ac:dyDescent="0.35">
      <c r="A7">
        <v>4</v>
      </c>
      <c r="B7">
        <v>2</v>
      </c>
      <c r="C7" t="s">
        <v>155</v>
      </c>
      <c r="D7" t="s">
        <v>169</v>
      </c>
      <c r="E7" t="s">
        <v>170</v>
      </c>
      <c r="F7" t="s">
        <v>171</v>
      </c>
      <c r="G7" s="45">
        <v>45170</v>
      </c>
      <c r="H7">
        <v>254756152025</v>
      </c>
      <c r="J7" s="45">
        <v>45901</v>
      </c>
      <c r="K7">
        <v>14</v>
      </c>
      <c r="Q7">
        <v>5</v>
      </c>
      <c r="R7" t="s">
        <v>162</v>
      </c>
    </row>
    <row r="8" spans="1:18" x14ac:dyDescent="0.35">
      <c r="A8">
        <v>5</v>
      </c>
      <c r="B8">
        <v>2</v>
      </c>
      <c r="C8" t="s">
        <v>174</v>
      </c>
      <c r="D8" t="s">
        <v>162</v>
      </c>
      <c r="E8" t="s">
        <v>173</v>
      </c>
      <c r="F8" t="s">
        <v>142</v>
      </c>
      <c r="G8" s="45">
        <v>45170</v>
      </c>
      <c r="H8">
        <v>254729373249</v>
      </c>
      <c r="I8" t="s">
        <v>175</v>
      </c>
      <c r="J8" s="45">
        <v>45901</v>
      </c>
      <c r="K8">
        <v>5</v>
      </c>
    </row>
    <row r="9" spans="1:18" x14ac:dyDescent="0.35">
      <c r="A9">
        <v>6</v>
      </c>
      <c r="B9">
        <v>4</v>
      </c>
      <c r="C9" t="s">
        <v>155</v>
      </c>
      <c r="D9" t="s">
        <v>176</v>
      </c>
      <c r="E9" t="s">
        <v>156</v>
      </c>
      <c r="F9" t="s">
        <v>177</v>
      </c>
      <c r="G9" s="45">
        <v>45170</v>
      </c>
      <c r="H9">
        <v>254756152025</v>
      </c>
      <c r="J9" s="45">
        <v>45901</v>
      </c>
      <c r="K9">
        <v>8</v>
      </c>
    </row>
  </sheetData>
  <mergeCells count="1">
    <mergeCell ref="Q1:R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03A1F-F4FA-4271-ADD5-D8A4CB62271C}">
  <sheetPr codeName="Sheet9"/>
  <dimension ref="A1:P5"/>
  <sheetViews>
    <sheetView workbookViewId="0">
      <selection activeCell="K11" sqref="K11"/>
    </sheetView>
  </sheetViews>
  <sheetFormatPr defaultRowHeight="14.5" x14ac:dyDescent="0.35"/>
  <sheetData>
    <row r="1" spans="1:16" x14ac:dyDescent="0.35">
      <c r="A1" s="31" t="s">
        <v>65</v>
      </c>
      <c r="B1" s="31" t="s">
        <v>66</v>
      </c>
      <c r="C1" s="31" t="s">
        <v>77</v>
      </c>
      <c r="D1" s="31" t="s">
        <v>52</v>
      </c>
      <c r="E1" s="31" t="s">
        <v>53</v>
      </c>
      <c r="F1" s="31" t="s">
        <v>67</v>
      </c>
      <c r="G1" s="31" t="s">
        <v>68</v>
      </c>
      <c r="H1" s="31" t="s">
        <v>56</v>
      </c>
      <c r="I1" s="31" t="s">
        <v>57</v>
      </c>
      <c r="J1" s="31" t="s">
        <v>69</v>
      </c>
      <c r="N1" s="71" t="s">
        <v>103</v>
      </c>
      <c r="O1" s="71"/>
      <c r="P1" s="71"/>
    </row>
    <row r="2" spans="1:16" x14ac:dyDescent="0.35">
      <c r="A2" s="32" t="s">
        <v>80</v>
      </c>
      <c r="B2" s="32"/>
      <c r="C2" s="32"/>
      <c r="D2" s="32"/>
      <c r="E2" s="32"/>
      <c r="F2" s="32"/>
      <c r="G2" s="32"/>
      <c r="H2" s="32"/>
      <c r="I2" s="32"/>
      <c r="J2" s="32"/>
      <c r="N2" s="33" t="s">
        <v>26</v>
      </c>
      <c r="O2" s="33" t="s">
        <v>71</v>
      </c>
      <c r="P2" s="33" t="s">
        <v>73</v>
      </c>
    </row>
    <row r="3" spans="1:16" x14ac:dyDescent="0.35">
      <c r="A3" s="33" t="s">
        <v>71</v>
      </c>
      <c r="B3" s="33" t="s">
        <v>72</v>
      </c>
      <c r="C3" s="33" t="s">
        <v>15</v>
      </c>
      <c r="D3" s="33" t="s">
        <v>73</v>
      </c>
      <c r="E3" s="33" t="s">
        <v>74</v>
      </c>
      <c r="F3" s="33" t="s">
        <v>26</v>
      </c>
      <c r="G3" s="33" t="s">
        <v>75</v>
      </c>
      <c r="H3" s="33" t="s">
        <v>76</v>
      </c>
      <c r="I3" s="33" t="s">
        <v>78</v>
      </c>
      <c r="J3" s="33" t="s">
        <v>79</v>
      </c>
      <c r="N3" s="45">
        <v>44200</v>
      </c>
      <c r="O3">
        <v>3</v>
      </c>
      <c r="P3" t="s">
        <v>115</v>
      </c>
    </row>
    <row r="4" spans="1:16" x14ac:dyDescent="0.35">
      <c r="A4">
        <v>1</v>
      </c>
      <c r="B4">
        <v>1</v>
      </c>
      <c r="C4">
        <v>1</v>
      </c>
      <c r="D4" t="s">
        <v>110</v>
      </c>
      <c r="E4">
        <v>12345</v>
      </c>
      <c r="F4" s="45">
        <v>44197</v>
      </c>
      <c r="G4" t="s">
        <v>101</v>
      </c>
      <c r="H4" t="s">
        <v>114</v>
      </c>
      <c r="I4" t="s">
        <v>113</v>
      </c>
      <c r="J4">
        <v>500</v>
      </c>
      <c r="N4" s="45">
        <v>44197</v>
      </c>
      <c r="O4">
        <v>1</v>
      </c>
      <c r="P4" t="s">
        <v>110</v>
      </c>
    </row>
    <row r="5" spans="1:16" x14ac:dyDescent="0.35">
      <c r="A5">
        <v>3</v>
      </c>
      <c r="B5">
        <v>2</v>
      </c>
      <c r="C5">
        <v>1</v>
      </c>
      <c r="D5" t="s">
        <v>115</v>
      </c>
      <c r="E5" t="s">
        <v>111</v>
      </c>
      <c r="F5" s="45">
        <v>44200</v>
      </c>
      <c r="H5" t="s">
        <v>116</v>
      </c>
      <c r="I5" t="s">
        <v>113</v>
      </c>
      <c r="J5">
        <v>450</v>
      </c>
    </row>
  </sheetData>
  <sortState xmlns:xlrd2="http://schemas.microsoft.com/office/spreadsheetml/2017/richdata2" ref="N3:P4">
    <sortCondition descending="1" ref="N3"/>
  </sortState>
  <mergeCells count="1">
    <mergeCell ref="N1:P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3D3D2-DB1A-458D-8E68-E5AEC75BF66B}">
  <sheetPr codeName="Sheet10"/>
  <dimension ref="A1:U4"/>
  <sheetViews>
    <sheetView topLeftCell="E1" workbookViewId="0">
      <selection activeCell="N3" sqref="N3:U3"/>
    </sheetView>
  </sheetViews>
  <sheetFormatPr defaultRowHeight="14.5" x14ac:dyDescent="0.35"/>
  <cols>
    <col min="3" max="3" width="9.453125" bestFit="1" customWidth="1"/>
    <col min="6" max="6" width="14.54296875" bestFit="1" customWidth="1"/>
    <col min="12" max="12" width="10.81640625" customWidth="1"/>
    <col min="16" max="16" width="9.453125" bestFit="1" customWidth="1"/>
    <col min="18" max="18" width="11.08984375" bestFit="1" customWidth="1"/>
    <col min="19" max="19" width="14.54296875" bestFit="1" customWidth="1"/>
  </cols>
  <sheetData>
    <row r="1" spans="1:21" x14ac:dyDescent="0.35">
      <c r="A1" s="34" t="s">
        <v>65</v>
      </c>
      <c r="B1" s="34" t="s">
        <v>52</v>
      </c>
      <c r="C1" s="34" t="s">
        <v>53</v>
      </c>
      <c r="D1" s="34" t="s">
        <v>67</v>
      </c>
      <c r="E1" s="34" t="s">
        <v>68</v>
      </c>
      <c r="F1" s="35"/>
      <c r="G1" s="35"/>
      <c r="H1" s="35"/>
      <c r="L1" s="37" t="s">
        <v>94</v>
      </c>
      <c r="N1" s="72" t="s">
        <v>96</v>
      </c>
      <c r="O1" s="73"/>
      <c r="P1" s="73"/>
      <c r="Q1" s="73"/>
      <c r="R1" s="73"/>
      <c r="S1" s="73"/>
      <c r="T1" s="73"/>
      <c r="U1" s="73"/>
    </row>
    <row r="2" spans="1:21" x14ac:dyDescent="0.35">
      <c r="A2" s="36" t="s">
        <v>86</v>
      </c>
      <c r="B2" s="36"/>
      <c r="C2" s="36"/>
      <c r="D2" s="36"/>
      <c r="E2" s="36"/>
      <c r="F2" s="36"/>
      <c r="G2" s="36"/>
      <c r="H2" s="36"/>
      <c r="L2" s="37" t="s">
        <v>119</v>
      </c>
      <c r="N2" s="37" t="s">
        <v>82</v>
      </c>
      <c r="O2" s="37" t="s">
        <v>42</v>
      </c>
      <c r="P2" s="37" t="s">
        <v>26</v>
      </c>
      <c r="Q2" s="37" t="s">
        <v>31</v>
      </c>
      <c r="R2" s="37" t="s">
        <v>83</v>
      </c>
      <c r="S2" s="37" t="s">
        <v>84</v>
      </c>
      <c r="T2" s="37" t="s">
        <v>119</v>
      </c>
      <c r="U2" s="37" t="s">
        <v>85</v>
      </c>
    </row>
    <row r="3" spans="1:21" x14ac:dyDescent="0.35">
      <c r="A3" s="37" t="s">
        <v>82</v>
      </c>
      <c r="B3" s="37" t="s">
        <v>42</v>
      </c>
      <c r="C3" s="37" t="s">
        <v>26</v>
      </c>
      <c r="D3" s="37" t="s">
        <v>31</v>
      </c>
      <c r="E3" s="37" t="s">
        <v>83</v>
      </c>
      <c r="F3" s="37" t="s">
        <v>84</v>
      </c>
      <c r="G3" s="37" t="s">
        <v>119</v>
      </c>
      <c r="H3" s="37" t="s">
        <v>85</v>
      </c>
      <c r="L3" t="s">
        <v>121</v>
      </c>
      <c r="N3">
        <v>1</v>
      </c>
      <c r="O3" t="s">
        <v>120</v>
      </c>
      <c r="P3" s="45">
        <v>44227</v>
      </c>
      <c r="Q3">
        <v>0.70833333333333337</v>
      </c>
      <c r="R3" t="s">
        <v>120</v>
      </c>
      <c r="S3" s="49">
        <v>44227.708333333336</v>
      </c>
      <c r="U3">
        <v>4</v>
      </c>
    </row>
    <row r="4" spans="1:21" x14ac:dyDescent="0.35">
      <c r="A4">
        <v>1</v>
      </c>
      <c r="B4" t="s">
        <v>120</v>
      </c>
      <c r="C4" s="45">
        <v>44227</v>
      </c>
      <c r="D4">
        <v>0.70833333333333337</v>
      </c>
      <c r="E4" t="s">
        <v>120</v>
      </c>
      <c r="F4" s="49">
        <v>44227.708333333336</v>
      </c>
      <c r="H4">
        <f>ROW()</f>
        <v>4</v>
      </c>
      <c r="P4" s="45"/>
      <c r="S4" s="45"/>
    </row>
  </sheetData>
  <sortState xmlns:xlrd2="http://schemas.microsoft.com/office/spreadsheetml/2017/richdata2" ref="N3:U3">
    <sortCondition descending="1" ref="P3"/>
  </sortState>
  <mergeCells count="1">
    <mergeCell ref="N1:U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A30C-5896-4B71-8DE4-FCD13D8F8751}">
  <sheetPr codeName="Sheet11"/>
  <dimension ref="A1:O3"/>
  <sheetViews>
    <sheetView workbookViewId="0">
      <selection activeCell="I11" sqref="I11"/>
    </sheetView>
  </sheetViews>
  <sheetFormatPr defaultRowHeight="14.5" x14ac:dyDescent="0.35"/>
  <cols>
    <col min="10" max="10" width="20.1796875" customWidth="1"/>
  </cols>
  <sheetData>
    <row r="1" spans="1:15" x14ac:dyDescent="0.35">
      <c r="A1" s="42" t="s">
        <v>92</v>
      </c>
      <c r="B1" s="42"/>
      <c r="C1" s="42"/>
      <c r="D1" s="42"/>
      <c r="E1" s="42"/>
      <c r="K1" s="74" t="s">
        <v>94</v>
      </c>
      <c r="L1" s="74"/>
      <c r="M1" s="74"/>
      <c r="O1" s="46" t="s">
        <v>96</v>
      </c>
    </row>
    <row r="2" spans="1:15" x14ac:dyDescent="0.35">
      <c r="A2" s="43" t="s">
        <v>91</v>
      </c>
      <c r="B2" s="43" t="s">
        <v>95</v>
      </c>
      <c r="C2" s="43" t="s">
        <v>15</v>
      </c>
      <c r="D2" s="43" t="s">
        <v>98</v>
      </c>
      <c r="E2" s="43" t="s">
        <v>97</v>
      </c>
      <c r="K2" s="43" t="s">
        <v>95</v>
      </c>
      <c r="L2" s="43" t="s">
        <v>15</v>
      </c>
      <c r="M2" s="43" t="s">
        <v>98</v>
      </c>
      <c r="O2" s="43" t="s">
        <v>97</v>
      </c>
    </row>
    <row r="3" spans="1:15" x14ac:dyDescent="0.35">
      <c r="K3">
        <v>1</v>
      </c>
      <c r="M3">
        <v>3</v>
      </c>
    </row>
  </sheetData>
  <mergeCells count="1">
    <mergeCell ref="K1:M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HOME</vt:lpstr>
      <vt:lpstr>Properties</vt:lpstr>
      <vt:lpstr>units and Tenants</vt:lpstr>
      <vt:lpstr>Transactions</vt:lpstr>
      <vt:lpstr>Alerts and Reminders</vt:lpstr>
      <vt:lpstr>Dashboard</vt:lpstr>
      <vt:lpstr>PropertyDB</vt:lpstr>
      <vt:lpstr>UnitsDB</vt:lpstr>
      <vt:lpstr>TransactionsDB</vt:lpstr>
      <vt:lpstr>AlersDB</vt:lpstr>
      <vt:lpstr>AttachmentsDB</vt:lpstr>
      <vt:lpstr>AlersDB!Criteria</vt:lpstr>
      <vt:lpstr>AttachmentsDB!Criteria</vt:lpstr>
      <vt:lpstr>UnitsDB!Criteria</vt:lpstr>
      <vt:lpstr>AlersDB!Extract</vt:lpstr>
      <vt:lpstr>AttachmentsDB!Extract</vt:lpstr>
      <vt:lpstr>TransactionsDB!Extract</vt:lpstr>
      <vt:lpstr>UnitsDB!Extract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jackson wahome</cp:lastModifiedBy>
  <dcterms:created xsi:type="dcterms:W3CDTF">2023-02-05T09:21:48Z</dcterms:created>
  <dcterms:modified xsi:type="dcterms:W3CDTF">2023-08-13T23:48:34Z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r8>1</vt:r8>
  </property>
  <property fmtid="{D5CDD505-2E9C-101B-9397-08002B2CF9AE}" pid="3" name="NAME" linkTarget="PROP_NAME">
    <vt:lpwstr>Jua kali Rentals</vt:lpwstr>
  </property>
</Properties>
</file>